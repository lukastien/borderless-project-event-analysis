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vent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<sst xmlns="http://schemas.openxmlformats.org/spreadsheetml/2006/main" count="490" uniqueCount="244">
  <si>
    <t xml:space="preserve">Borderless Project — 2025 Event Performance Dashboard</t>
  </si>
  <si>
    <t xml:space="preserve">Attendance, revenue, and engagement across all 2025 events</t>
  </si>
  <si>
    <t xml:space="preserve">Total Events</t>
  </si>
  <si>
    <t xml:space="preserve">Total Attendance</t>
  </si>
  <si>
    <t xml:space="preserve">Total Revenue</t>
  </si>
  <si>
    <t xml:space="preserve">Net Revenue</t>
  </si>
  <si>
    <t xml:space="preserve">Avg Attendance Rate</t>
  </si>
  <si>
    <t xml:space="preserve">Event_ID</t>
  </si>
  <si>
    <t xml:space="preserve">Event_Name</t>
  </si>
  <si>
    <t xml:space="preserve">Date</t>
  </si>
  <si>
    <t xml:space="preserve">Day_of_Week</t>
  </si>
  <si>
    <t xml:space="preserve">Month</t>
  </si>
  <si>
    <t xml:space="preserve">Start_Time</t>
  </si>
  <si>
    <t xml:space="preserve">Event_Type</t>
  </si>
  <si>
    <t xml:space="preserve">Genre</t>
  </si>
  <si>
    <t xml:space="preserve">Artist</t>
  </si>
  <si>
    <t xml:space="preserve">Venue</t>
  </si>
  <si>
    <t xml:space="preserve">City</t>
  </si>
  <si>
    <t xml:space="preserve">Capacity</t>
  </si>
  <si>
    <t xml:space="preserve">Tickets_Sold</t>
  </si>
  <si>
    <t xml:space="preserve">Attendance</t>
  </si>
  <si>
    <t xml:space="preserve">Attendance_Rate</t>
  </si>
  <si>
    <t xml:space="preserve">Ticket_Price</t>
  </si>
  <si>
    <t xml:space="preserve">Ticket_Revenue</t>
  </si>
  <si>
    <t xml:space="preserve">Merch_Sales</t>
  </si>
  <si>
    <t xml:space="preserve">Total_Revenue</t>
  </si>
  <si>
    <t xml:space="preserve">Marketing_Spend</t>
  </si>
  <si>
    <t xml:space="preserve">Net_Revenue</t>
  </si>
  <si>
    <t xml:space="preserve">Social_Media_Impressions</t>
  </si>
  <si>
    <t xml:space="preserve">BL-001</t>
  </si>
  <si>
    <t xml:space="preserve">Onyx Sol — Showcase</t>
  </si>
  <si>
    <t xml:space="preserve">19:00</t>
  </si>
  <si>
    <t xml:space="preserve">Showcase</t>
  </si>
  <si>
    <t xml:space="preserve">Afrobeats</t>
  </si>
  <si>
    <t xml:space="preserve">Onyx Sol</t>
  </si>
  <si>
    <t xml:space="preserve">1015 Folsom</t>
  </si>
  <si>
    <t xml:space="preserve">San Francisco</t>
  </si>
  <si>
    <t xml:space="preserve">BL-002</t>
  </si>
  <si>
    <t xml:space="preserve">Lumen Cruz — Festival Stage</t>
  </si>
  <si>
    <t xml:space="preserve">20:00</t>
  </si>
  <si>
    <t xml:space="preserve">Festival Stage</t>
  </si>
  <si>
    <t xml:space="preserve">Electronic</t>
  </si>
  <si>
    <t xml:space="preserve">Lumen Cruz</t>
  </si>
  <si>
    <t xml:space="preserve">Harlow's</t>
  </si>
  <si>
    <t xml:space="preserve">Sacramento</t>
  </si>
  <si>
    <t xml:space="preserve">BL-003</t>
  </si>
  <si>
    <t xml:space="preserve">Wilder Vaughn — Concert</t>
  </si>
  <si>
    <t xml:space="preserve">21:00</t>
  </si>
  <si>
    <t xml:space="preserve">Concert</t>
  </si>
  <si>
    <t xml:space="preserve">Wilder Vaughn</t>
  </si>
  <si>
    <t xml:space="preserve">The Marsh</t>
  </si>
  <si>
    <t xml:space="preserve">Berkeley</t>
  </si>
  <si>
    <t xml:space="preserve">BL-004</t>
  </si>
  <si>
    <t xml:space="preserve">Onyx Marsh — Concert</t>
  </si>
  <si>
    <t xml:space="preserve">Onyx Marsh</t>
  </si>
  <si>
    <t xml:space="preserve">Ace of Spades</t>
  </si>
  <si>
    <t xml:space="preserve">BL-005</t>
  </si>
  <si>
    <t xml:space="preserve">Juniper Cruz — Festival Stage</t>
  </si>
  <si>
    <t xml:space="preserve">19:30</t>
  </si>
  <si>
    <t xml:space="preserve">Indie</t>
  </si>
  <si>
    <t xml:space="preserve">Juniper Cruz</t>
  </si>
  <si>
    <t xml:space="preserve">The Ritz</t>
  </si>
  <si>
    <t xml:space="preserve">San Jose</t>
  </si>
  <si>
    <t xml:space="preserve">BL-006</t>
  </si>
  <si>
    <t xml:space="preserve">Halcyon Storm — Showcase</t>
  </si>
  <si>
    <t xml:space="preserve">21:30</t>
  </si>
  <si>
    <t xml:space="preserve">Pop</t>
  </si>
  <si>
    <t xml:space="preserve">Halcyon Storm</t>
  </si>
  <si>
    <t xml:space="preserve">Starline Social Club</t>
  </si>
  <si>
    <t xml:space="preserve">Oakland</t>
  </si>
  <si>
    <t xml:space="preserve">BL-007</t>
  </si>
  <si>
    <t xml:space="preserve">Kairo Marsh — Concert</t>
  </si>
  <si>
    <t xml:space="preserve">Latin</t>
  </si>
  <si>
    <t xml:space="preserve">Kairo Marsh</t>
  </si>
  <si>
    <t xml:space="preserve">Fox Theater</t>
  </si>
  <si>
    <t xml:space="preserve">BL-008</t>
  </si>
  <si>
    <t xml:space="preserve">Indigo Grey — Concert</t>
  </si>
  <si>
    <t xml:space="preserve">Indigo Grey</t>
  </si>
  <si>
    <t xml:space="preserve">BL-009</t>
  </si>
  <si>
    <t xml:space="preserve">Solace Vaughn — Listening Party</t>
  </si>
  <si>
    <t xml:space="preserve">Listening Party</t>
  </si>
  <si>
    <t xml:space="preserve">Solace Vaughn</t>
  </si>
  <si>
    <t xml:space="preserve">BL-010</t>
  </si>
  <si>
    <t xml:space="preserve">Miel Vaughn — Festival Stage</t>
  </si>
  <si>
    <t xml:space="preserve">R&amp;B</t>
  </si>
  <si>
    <t xml:space="preserve">Miel Vaughn</t>
  </si>
  <si>
    <t xml:space="preserve">BL-011</t>
  </si>
  <si>
    <t xml:space="preserve">Wilder Marsh — Album Release</t>
  </si>
  <si>
    <t xml:space="preserve">Album Release</t>
  </si>
  <si>
    <t xml:space="preserve">Wilder Marsh</t>
  </si>
  <si>
    <t xml:space="preserve">BL-012</t>
  </si>
  <si>
    <t xml:space="preserve">Onyx Cruz — Album Release</t>
  </si>
  <si>
    <t xml:space="preserve">Onyx Cruz</t>
  </si>
  <si>
    <t xml:space="preserve">Great American Music Hall</t>
  </si>
  <si>
    <t xml:space="preserve">BL-013</t>
  </si>
  <si>
    <t xml:space="preserve">Zenith Kane — Concert</t>
  </si>
  <si>
    <t xml:space="preserve">Zenith Kane</t>
  </si>
  <si>
    <t xml:space="preserve">El Rey Theatre</t>
  </si>
  <si>
    <t xml:space="preserve">Los Angeles</t>
  </si>
  <si>
    <t xml:space="preserve">BL-014</t>
  </si>
  <si>
    <t xml:space="preserve">Briar Reyes — Concert</t>
  </si>
  <si>
    <t xml:space="preserve">Briar Reyes</t>
  </si>
  <si>
    <t xml:space="preserve">BL-015</t>
  </si>
  <si>
    <t xml:space="preserve">Halcyon Sol — Album Release</t>
  </si>
  <si>
    <t xml:space="preserve">Alt Rock</t>
  </si>
  <si>
    <t xml:space="preserve">Halcyon Sol</t>
  </si>
  <si>
    <t xml:space="preserve">BL-016</t>
  </si>
  <si>
    <t xml:space="preserve">Miel Ward — Album Release</t>
  </si>
  <si>
    <t xml:space="preserve">Miel Ward</t>
  </si>
  <si>
    <t xml:space="preserve">The Independent</t>
  </si>
  <si>
    <t xml:space="preserve">BL-017</t>
  </si>
  <si>
    <t xml:space="preserve">Juniper Sol — Listening Party</t>
  </si>
  <si>
    <t xml:space="preserve">Juniper Sol</t>
  </si>
  <si>
    <t xml:space="preserve">BL-018</t>
  </si>
  <si>
    <t xml:space="preserve">Onyx Rivers — Concert</t>
  </si>
  <si>
    <t xml:space="preserve">Onyx Rivers</t>
  </si>
  <si>
    <t xml:space="preserve">UC Theatre</t>
  </si>
  <si>
    <t xml:space="preserve">BL-019</t>
  </si>
  <si>
    <t xml:space="preserve">Briar Sol — Concert</t>
  </si>
  <si>
    <t xml:space="preserve">Briar Sol</t>
  </si>
  <si>
    <t xml:space="preserve">The New Parish</t>
  </si>
  <si>
    <t xml:space="preserve">BL-020</t>
  </si>
  <si>
    <t xml:space="preserve">Rue Cruz — Listening Party</t>
  </si>
  <si>
    <t xml:space="preserve">Hip-Hop</t>
  </si>
  <si>
    <t xml:space="preserve">Rue Cruz</t>
  </si>
  <si>
    <t xml:space="preserve">BL-021</t>
  </si>
  <si>
    <t xml:space="preserve">Kairo Frost — Showcase</t>
  </si>
  <si>
    <t xml:space="preserve">Kairo Frost</t>
  </si>
  <si>
    <t xml:space="preserve">BL-022</t>
  </si>
  <si>
    <t xml:space="preserve">Solace Blake — Showcase</t>
  </si>
  <si>
    <t xml:space="preserve">Solace Blake</t>
  </si>
  <si>
    <t xml:space="preserve">Echoplex</t>
  </si>
  <si>
    <t xml:space="preserve">BL-023</t>
  </si>
  <si>
    <t xml:space="preserve">Halcyon Ward — Concert</t>
  </si>
  <si>
    <t xml:space="preserve">Halcyon Ward</t>
  </si>
  <si>
    <t xml:space="preserve">BL-024</t>
  </si>
  <si>
    <t xml:space="preserve">Zenith Cruz — Concert</t>
  </si>
  <si>
    <t xml:space="preserve">Zenith Cruz</t>
  </si>
  <si>
    <t xml:space="preserve">BL-025</t>
  </si>
  <si>
    <t xml:space="preserve">Nova Hart — Festival Stage</t>
  </si>
  <si>
    <t xml:space="preserve">20:30</t>
  </si>
  <si>
    <t xml:space="preserve">Nova Hart</t>
  </si>
  <si>
    <t xml:space="preserve">BL-026</t>
  </si>
  <si>
    <t xml:space="preserve">Sable Storm — Festival Stage</t>
  </si>
  <si>
    <t xml:space="preserve">Sable Storm</t>
  </si>
  <si>
    <t xml:space="preserve">BL-027</t>
  </si>
  <si>
    <t xml:space="preserve">Lumen Stone — Festival Stage</t>
  </si>
  <si>
    <t xml:space="preserve">Lumen Stone</t>
  </si>
  <si>
    <t xml:space="preserve">BL-028</t>
  </si>
  <si>
    <t xml:space="preserve">Indigo Ward — Showcase</t>
  </si>
  <si>
    <t xml:space="preserve">Indigo Ward</t>
  </si>
  <si>
    <t xml:space="preserve">Blank Club</t>
  </si>
  <si>
    <t xml:space="preserve">BL-029</t>
  </si>
  <si>
    <t xml:space="preserve">Nova Marsh — Showcase</t>
  </si>
  <si>
    <t xml:space="preserve">Nova Marsh</t>
  </si>
  <si>
    <t xml:space="preserve">BL-030</t>
  </si>
  <si>
    <t xml:space="preserve">Argus Grey — Album Release</t>
  </si>
  <si>
    <t xml:space="preserve">Argus Grey</t>
  </si>
  <si>
    <t xml:space="preserve">BL-031</t>
  </si>
  <si>
    <t xml:space="preserve">Marlow Lane — Showcase</t>
  </si>
  <si>
    <t xml:space="preserve">Marlow Lane</t>
  </si>
  <si>
    <t xml:space="preserve">The Roxy</t>
  </si>
  <si>
    <t xml:space="preserve">BL-032</t>
  </si>
  <si>
    <t xml:space="preserve">Juniper Rey — Festival Stage</t>
  </si>
  <si>
    <t xml:space="preserve">Juniper Rey</t>
  </si>
  <si>
    <t xml:space="preserve">BL-033</t>
  </si>
  <si>
    <t xml:space="preserve">Marlow Grey — Showcase</t>
  </si>
  <si>
    <t xml:space="preserve">Marlow Grey</t>
  </si>
  <si>
    <t xml:space="preserve">BL-034</t>
  </si>
  <si>
    <t xml:space="preserve">Rue Ford — Festival Stage</t>
  </si>
  <si>
    <t xml:space="preserve">Rue Ford</t>
  </si>
  <si>
    <t xml:space="preserve">BL-035</t>
  </si>
  <si>
    <t xml:space="preserve">Onyx Vox — Listening Party</t>
  </si>
  <si>
    <t xml:space="preserve">Onyx Vox</t>
  </si>
  <si>
    <t xml:space="preserve">BL-036</t>
  </si>
  <si>
    <t xml:space="preserve">Solace Stone — Listening Party</t>
  </si>
  <si>
    <t xml:space="preserve">Solace Stone</t>
  </si>
  <si>
    <t xml:space="preserve">BL-037</t>
  </si>
  <si>
    <t xml:space="preserve">Indigo Stone — Concert</t>
  </si>
  <si>
    <t xml:space="preserve">Indigo Stone</t>
  </si>
  <si>
    <t xml:space="preserve">BL-038</t>
  </si>
  <si>
    <t xml:space="preserve">Wilder Sol — Listening Party</t>
  </si>
  <si>
    <t xml:space="preserve">Wilder Sol</t>
  </si>
  <si>
    <t xml:space="preserve">BL-039</t>
  </si>
  <si>
    <t xml:space="preserve">Marlow Ford — Concert</t>
  </si>
  <si>
    <t xml:space="preserve">Marlow Ford</t>
  </si>
  <si>
    <t xml:space="preserve">BL-040</t>
  </si>
  <si>
    <t xml:space="preserve">Nova Hart — Album Release</t>
  </si>
  <si>
    <t xml:space="preserve">BL-041</t>
  </si>
  <si>
    <t xml:space="preserve">Onyx Frost — Festival Stage</t>
  </si>
  <si>
    <t xml:space="preserve">Onyx Frost</t>
  </si>
  <si>
    <t xml:space="preserve">BL-042</t>
  </si>
  <si>
    <t xml:space="preserve">Zenith Vaughn — Listening Party</t>
  </si>
  <si>
    <t xml:space="preserve">Zenith Vaughn</t>
  </si>
  <si>
    <t xml:space="preserve">BL-043</t>
  </si>
  <si>
    <t xml:space="preserve">Indigo Reyes — Showcase</t>
  </si>
  <si>
    <t xml:space="preserve">Indigo Reyes</t>
  </si>
  <si>
    <t xml:space="preserve">BL-044</t>
  </si>
  <si>
    <t xml:space="preserve">Kairo Cruz — Showcase</t>
  </si>
  <si>
    <t xml:space="preserve">Kairo Cruz</t>
  </si>
  <si>
    <t xml:space="preserve">BL-045</t>
  </si>
  <si>
    <t xml:space="preserve">Briar Grey — Concert</t>
  </si>
  <si>
    <t xml:space="preserve">Briar Grey</t>
  </si>
  <si>
    <t xml:space="preserve">BL-046</t>
  </si>
  <si>
    <t xml:space="preserve">Vesper Cruz — Showcase</t>
  </si>
  <si>
    <t xml:space="preserve">Vesper Cruz</t>
  </si>
  <si>
    <t xml:space="preserve">BL-047</t>
  </si>
  <si>
    <t xml:space="preserve">Onyx Cruz — Concert</t>
  </si>
  <si>
    <t xml:space="preserve">BL-048</t>
  </si>
  <si>
    <t xml:space="preserve">Wilder Frost — Concert</t>
  </si>
  <si>
    <t xml:space="preserve">Wilder Frost</t>
  </si>
  <si>
    <t xml:space="preserve">BL-049</t>
  </si>
  <si>
    <t xml:space="preserve">Lumen Kane — Listening Party</t>
  </si>
  <si>
    <t xml:space="preserve">Lumen Kane</t>
  </si>
  <si>
    <t xml:space="preserve">BL-050</t>
  </si>
  <si>
    <t xml:space="preserve">Solace Lane — Concert</t>
  </si>
  <si>
    <t xml:space="preserve">Solace Lane</t>
  </si>
  <si>
    <t xml:space="preserve">Monthly Performance</t>
  </si>
  <si>
    <t xml:space="preserve">Events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</si>
  <si>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</si>
  <si>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</si>
  <si>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</si>
  <si>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</si>
  <si>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</si>
  <si>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</si>
  <si>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</si>
  <si>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</si>
  <si>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</si>
  <si>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</si>
  <si>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</si>
  <si>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</si>
  <si>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Performance by Genre</t>
  </si>
  <si>
    <t xml:space="preserve">Performance by Day of Week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</si>
  <si>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</si>
  <si>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</si>
  <si>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</si>
  <si>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</si>
  <si>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</si>
  <si>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</si>
  <si>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</si>
  <si>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</si>
  <si>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Performance by City</t>
  </si>
  <si>
    <t xml:space="preserve">Overall KPIs</t>
  </si>
  <si>
    <t xml:space="preserve">Total Net Revenue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</si>
</sst>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\$#,##0"/>
    <numFmt numFmtId="167" formatCode="0.0%"/>
    <numFmt numFmtId="168" formatCode="mm/dd/yyyy"/>
    <numFmt numFmtId="169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6213E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8"/>
      <color rgb="FF16213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6213E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EAF2"/>
        <bgColor rgb="FFD9D9D9"/>
      </patternFill>
    </fill>
    <fill>
      <patternFill patternType="solid">
        <fgColor rgb="FF16213E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8EA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Summary!D3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Summary!$D$4:$D$15</c:f>
              <c:numCache>
                <c:formatCode>\$#,##0</c:formatCode>
                <c:ptCount val="12"/>
                <c:pt idx="0">
                  <c:v>63987.45</c:v>
                </c:pt>
                <c:pt idx="1">
                  <c:v>66743.86</c:v>
                </c:pt>
                <c:pt idx="2">
                  <c:v>74466.52</c:v>
                </c:pt>
                <c:pt idx="3">
                  <c:v>37848.67</c:v>
                </c:pt>
                <c:pt idx="4">
                  <c:v>78035.57</c:v>
                </c:pt>
                <c:pt idx="5">
                  <c:v>68034.13</c:v>
                </c:pt>
                <c:pt idx="6">
                  <c:v>59735.11</c:v>
                </c:pt>
                <c:pt idx="7">
                  <c:v>74679.46</c:v>
                </c:pt>
                <c:pt idx="8">
                  <c:v>67554.34</c:v>
                </c:pt>
                <c:pt idx="9">
                  <c:v>132183.88</c:v>
                </c:pt>
                <c:pt idx="10">
                  <c:v>91332.62</c:v>
                </c:pt>
                <c:pt idx="11">
                  <c:v>46469.91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3835"/>
        <c:axId val="86090554"/>
      </c:lineChart>
      <c:catAx>
        <c:axId val="70438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90554"/>
        <c:crosses val="autoZero"/>
        <c:auto val="1"/>
        <c:lblAlgn val="ctr"/>
        <c:lblOffset val="100"/>
        <c:noMultiLvlLbl val="0"/>
      </c:catAx>
      <c:valAx>
        <c:axId val="86090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3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Summary!C20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Summary!$A$21:$A$28</c:f>
              <c:strCache>
                <c:ptCount val="8"/>
                <c:pt idx="0">
                  <c:v>Hip-Hop</c:v>
                </c:pt>
                <c:pt idx="1">
                  <c:v>R&amp;B</c:v>
                </c:pt>
                <c:pt idx="2">
                  <c:v>Indie</c:v>
                </c:pt>
                <c:pt idx="3">
                  <c:v>Electronic</c:v>
                </c:pt>
                <c:pt idx="4">
                  <c:v>Afrobeats</c:v>
                </c:pt>
                <c:pt idx="5">
                  <c:v>Pop</c:v>
                </c:pt>
                <c:pt idx="6">
                  <c:v>Alt Rock</c:v>
                </c:pt>
                <c:pt idx="7">
                  <c:v>Latin</c:v>
                </c:pt>
              </c:strCache>
            </c:strRef>
          </c:cat>
          <c:val>
            <c:numRef>
              <c:f>Summary!$C$21:$C$28</c:f>
              <c:numCache>
                <c:formatCode>\$#,##0</c:formatCode>
                <c:ptCount val="8"/>
                <c:pt idx="0">
                  <c:v>77125.11</c:v>
                </c:pt>
                <c:pt idx="1">
                  <c:v>104898.26</c:v>
                </c:pt>
                <c:pt idx="2">
                  <c:v>61059.37</c:v>
                </c:pt>
                <c:pt idx="3">
                  <c:v>266153.05</c:v>
                </c:pt>
                <c:pt idx="4">
                  <c:v>69843.11</c:v>
                </c:pt>
                <c:pt idx="5">
                  <c:v>111378.32</c:v>
                </c:pt>
                <c:pt idx="6">
                  <c:v>60043.42</c:v>
                </c:pt>
                <c:pt idx="7">
                  <c:v>110570.88</c:v>
                </c:pt>
              </c:numCache>
            </c:numRef>
          </c:val>
        </c:ser>
        <c:gapWidth val="150"/>
        <c:overlap val="0"/>
        <c:axId val="530668"/>
        <c:axId val="45046975"/>
      </c:barChart>
      <c:catAx>
        <c:axId val="530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46975"/>
        <c:crosses val="autoZero"/>
        <c:auto val="1"/>
        <c:lblAlgn val="ctr"/>
        <c:lblOffset val="100"/>
        <c:noMultiLvlLbl val="0"/>
      </c:catAx>
      <c:valAx>
        <c:axId val="45046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Attendance Rate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Summary!C33</c:f>
              <c:strCache>
                <c:ptCount val="1"/>
                <c:pt idx="0">
                  <c:v>Avg Attendance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Summary!$A$34:$A$40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Summary!$C$34:$C$40</c:f>
              <c:numCache>
                <c:formatCode>0.0%</c:formatCode>
                <c:ptCount val="7"/>
                <c:pt idx="0">
                  <c:v>0.731947606315253</c:v>
                </c:pt>
                <c:pt idx="1">
                  <c:v>0.659229797979798</c:v>
                </c:pt>
                <c:pt idx="2">
                  <c:v>0.67654609929078</c:v>
                </c:pt>
                <c:pt idx="3">
                  <c:v>0.745687830687831</c:v>
                </c:pt>
                <c:pt idx="4">
                  <c:v>0.66327731092437</c:v>
                </c:pt>
                <c:pt idx="5">
                  <c:v>0.714654711510156</c:v>
                </c:pt>
                <c:pt idx="6">
                  <c:v>0.690813025210084</c:v>
                </c:pt>
              </c:numCache>
            </c:numRef>
          </c:val>
        </c:ser>
        <c:gapWidth val="150"/>
        <c:overlap val="0"/>
        <c:axId val="82651857"/>
        <c:axId val="41844973"/>
      </c:barChart>
      <c:catAx>
        <c:axId val="826518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44973"/>
        <c:crosses val="autoZero"/>
        <c:auto val="1"/>
        <c:lblAlgn val="ctr"/>
        <c:lblOffset val="100"/>
        <c:noMultiLvlLbl val="0"/>
      </c:catAx>
      <c:valAx>
        <c:axId val="418449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Attendance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518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Summary!$A$46:$A$51</c:f>
              <c:strCache>
                <c:ptCount val="6"/>
                <c:pt idx="0">
                  <c:v>San Francisco</c:v>
                </c:pt>
                <c:pt idx="1">
                  <c:v>Oakland</c:v>
                </c:pt>
                <c:pt idx="2">
                  <c:v>Berkeley</c:v>
                </c:pt>
                <c:pt idx="3">
                  <c:v>Los Angeles</c:v>
                </c:pt>
                <c:pt idx="4">
                  <c:v>San Jose</c:v>
                </c:pt>
                <c:pt idx="5">
                  <c:v>Sacramento</c:v>
                </c:pt>
              </c:strCache>
            </c:strRef>
          </c:cat>
          <c:val>
            <c:numRef>
              <c:f>Summary!$C$46:$C$51</c:f>
              <c:numCache>
                <c:formatCode>\$#,##0</c:formatCode>
                <c:ptCount val="6"/>
                <c:pt idx="0">
                  <c:v>97496.53</c:v>
                </c:pt>
                <c:pt idx="1">
                  <c:v>208296.31</c:v>
                </c:pt>
                <c:pt idx="2">
                  <c:v>143779.62</c:v>
                </c:pt>
                <c:pt idx="3">
                  <c:v>166755.74</c:v>
                </c:pt>
                <c:pt idx="4">
                  <c:v>107514.34</c:v>
                </c:pt>
                <c:pt idx="5">
                  <c:v>137228.98</c:v>
                </c:pt>
              </c:numCache>
            </c:numRef>
          </c:val>
        </c:ser>
        <c:gapWidth val="150"/>
        <c:overlap val="0"/>
        <c:axId val="33442344"/>
        <c:axId val="25477947"/>
      </c:barChart>
      <c:catAx>
        <c:axId val="334423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77947"/>
        <c:crosses val="autoZero"/>
        <c:auto val="1"/>
        <c:lblAlgn val="ctr"/>
        <c:lblOffset val="100"/>
        <c:noMultiLvlLbl val="0"/>
      </c:catAx>
      <c:valAx>
        <c:axId val="25477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42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70200</xdr:rowOff>
    </xdr:from>
    <xdr:to>
      <xdr:col>9</xdr:col>
      <xdr:colOff>684720</xdr:colOff>
      <xdr:row>23</xdr:row>
      <xdr:rowOff>92520</xdr:rowOff>
    </xdr:to>
    <xdr:graphicFrame>
      <xdr:nvGraphicFramePr>
        <xdr:cNvPr id="0" name="Chart 1"/>
        <xdr:cNvGraphicFramePr/>
      </xdr:nvGraphicFramePr>
      <xdr:xfrm>
        <a:off x="211320" y="1876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8</xdr:row>
      <xdr:rowOff>70200</xdr:rowOff>
    </xdr:from>
    <xdr:to>
      <xdr:col>19</xdr:col>
      <xdr:colOff>255960</xdr:colOff>
      <xdr:row>23</xdr:row>
      <xdr:rowOff>92520</xdr:rowOff>
    </xdr:to>
    <xdr:graphicFrame>
      <xdr:nvGraphicFramePr>
        <xdr:cNvPr id="1" name="Chart 2"/>
        <xdr:cNvGraphicFramePr/>
      </xdr:nvGraphicFramePr>
      <xdr:xfrm>
        <a:off x="6273000" y="18763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70560</xdr:rowOff>
    </xdr:from>
    <xdr:to>
      <xdr:col>9</xdr:col>
      <xdr:colOff>684720</xdr:colOff>
      <xdr:row>40</xdr:row>
      <xdr:rowOff>92520</xdr:rowOff>
    </xdr:to>
    <xdr:graphicFrame>
      <xdr:nvGraphicFramePr>
        <xdr:cNvPr id="2" name="Chart 3"/>
        <xdr:cNvGraphicFramePr/>
      </xdr:nvGraphicFramePr>
      <xdr:xfrm>
        <a:off x="211320" y="5114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70560</xdr:rowOff>
    </xdr:from>
    <xdr:to>
      <xdr:col>19</xdr:col>
      <xdr:colOff>255960</xdr:colOff>
      <xdr:row>40</xdr:row>
      <xdr:rowOff>92520</xdr:rowOff>
    </xdr:to>
    <xdr:graphicFrame>
      <xdr:nvGraphicFramePr>
        <xdr:cNvPr id="3" name="Chart 4"/>
        <xdr:cNvGraphicFramePr/>
      </xdr:nvGraphicFramePr>
      <xdr:xfrm>
        <a:off x="6273000" y="5114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14"/>
    <col collapsed="false" customWidth="true" hidden="false" outlineLevel="0" max="9" min="9" style="0" width="4"/>
    <col collapsed="false" customWidth="true" hidden="false" outlineLevel="0" max="10" min="10" style="0" width="14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21.7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18" hidden="false" customHeight="true" outlineLevel="0" collapsed="false">
      <c r="B6" s="4" t="n">
        <f aca="false">Summary!$B$55</f>
        <v>50</v>
      </c>
      <c r="C6" s="4"/>
      <c r="D6" s="4" t="n">
        <f aca="false">Summary!$B$56</f>
        <v>26515</v>
      </c>
      <c r="E6" s="4"/>
      <c r="F6" s="5" t="n">
        <f aca="false">Summary!$B$57</f>
        <v>861071.52</v>
      </c>
      <c r="G6" s="5"/>
      <c r="H6" s="5" t="n">
        <f aca="false">Summary!$B$58</f>
        <v>810253.09</v>
      </c>
      <c r="I6" s="5"/>
      <c r="J6" s="6" t="n">
        <f aca="false">Summary!$B$59</f>
        <v>0.702593750936867</v>
      </c>
      <c r="K6" s="6"/>
    </row>
    <row r="7" customFormat="false" ht="18" hidden="false" customHeight="true" outlineLevel="0" collapsed="false">
      <c r="B7" s="4"/>
      <c r="C7" s="4"/>
      <c r="D7" s="4"/>
      <c r="E7" s="4"/>
      <c r="F7" s="5"/>
      <c r="G7" s="5"/>
      <c r="H7" s="5"/>
      <c r="I7" s="5"/>
      <c r="J7" s="6"/>
      <c r="K7" s="6"/>
    </row>
  </sheetData>
  <mergeCells count="12">
    <mergeCell ref="B2:J2"/>
    <mergeCell ref="B3:J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13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22"/>
  </cols>
  <sheetData>
    <row r="1" customFormat="false" ht="30" hidden="false" customHeight="tru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25</v>
      </c>
      <c r="T1" s="7" t="s">
        <v>26</v>
      </c>
      <c r="U1" s="7" t="s">
        <v>27</v>
      </c>
      <c r="V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  <c r="C2" s="9" t="n">
        <v>45661</v>
      </c>
      <c r="D2" s="8" t="str">
        <f aca="false">TEXT(C2,"dddd")</f>
        <v>Saturday</v>
      </c>
      <c r="E2" s="8" t="str">
        <f aca="false">TEXT(C2,"mmm")</f>
        <v>Jan</v>
      </c>
      <c r="F2" s="8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n">
        <v>700</v>
      </c>
      <c r="M2" s="8" t="n">
        <v>572</v>
      </c>
      <c r="N2" s="8" t="n">
        <v>552</v>
      </c>
      <c r="O2" s="10" t="n">
        <f aca="false">N2/L2</f>
        <v>0.788571428571429</v>
      </c>
      <c r="P2" s="11" t="n">
        <v>18</v>
      </c>
      <c r="Q2" s="11" t="n">
        <f aca="false">M2*P2</f>
        <v>10296</v>
      </c>
      <c r="R2" s="11" t="n">
        <v>2294.78</v>
      </c>
      <c r="S2" s="11" t="n">
        <f aca="false">Q2+R2</f>
        <v>12590.78</v>
      </c>
      <c r="T2" s="11" t="n">
        <v>250.85</v>
      </c>
      <c r="U2" s="11" t="n">
        <f aca="false">S2-T2</f>
        <v>12339.93</v>
      </c>
      <c r="V2" s="8" t="n">
        <v>8340</v>
      </c>
    </row>
    <row r="3" customFormat="false" ht="15" hidden="false" customHeight="false" outlineLevel="0" collapsed="false">
      <c r="A3" s="8" t="s">
        <v>37</v>
      </c>
      <c r="B3" s="8" t="s">
        <v>38</v>
      </c>
      <c r="C3" s="9" t="n">
        <v>45668</v>
      </c>
      <c r="D3" s="8" t="str">
        <f aca="false">TEXT(C3,"dddd")</f>
        <v>Saturday</v>
      </c>
      <c r="E3" s="8" t="str">
        <f aca="false">TEXT(C3,"mmm")</f>
        <v>Jan</v>
      </c>
      <c r="F3" s="8" t="s">
        <v>39</v>
      </c>
      <c r="G3" s="8" t="s">
        <v>40</v>
      </c>
      <c r="H3" s="8" t="s">
        <v>41</v>
      </c>
      <c r="I3" s="8" t="s">
        <v>42</v>
      </c>
      <c r="J3" s="8" t="s">
        <v>43</v>
      </c>
      <c r="K3" s="8" t="s">
        <v>44</v>
      </c>
      <c r="L3" s="8" t="n">
        <v>450</v>
      </c>
      <c r="M3" s="8" t="n">
        <v>354</v>
      </c>
      <c r="N3" s="8" t="n">
        <v>337</v>
      </c>
      <c r="O3" s="10" t="n">
        <f aca="false">N3/L3</f>
        <v>0.748888888888889</v>
      </c>
      <c r="P3" s="11" t="n">
        <v>30</v>
      </c>
      <c r="Q3" s="11" t="n">
        <f aca="false">M3*P3</f>
        <v>10620</v>
      </c>
      <c r="R3" s="11" t="n">
        <v>1021.49</v>
      </c>
      <c r="S3" s="11" t="n">
        <f aca="false">Q3+R3</f>
        <v>11641.49</v>
      </c>
      <c r="T3" s="11" t="n">
        <v>448.77</v>
      </c>
      <c r="U3" s="11" t="n">
        <f aca="false">S3-T3</f>
        <v>11192.72</v>
      </c>
      <c r="V3" s="8" t="n">
        <v>57561</v>
      </c>
    </row>
    <row r="4" customFormat="false" ht="15" hidden="false" customHeight="false" outlineLevel="0" collapsed="false">
      <c r="A4" s="8" t="s">
        <v>45</v>
      </c>
      <c r="B4" s="8" t="s">
        <v>46</v>
      </c>
      <c r="C4" s="9" t="n">
        <v>45672</v>
      </c>
      <c r="D4" s="8" t="str">
        <f aca="false">TEXT(C4,"dddd")</f>
        <v>Wednesday</v>
      </c>
      <c r="E4" s="8" t="str">
        <f aca="false">TEXT(C4,"mmm")</f>
        <v>Jan</v>
      </c>
      <c r="F4" s="8" t="s">
        <v>47</v>
      </c>
      <c r="G4" s="8" t="s">
        <v>48</v>
      </c>
      <c r="H4" s="8" t="s">
        <v>33</v>
      </c>
      <c r="I4" s="8" t="s">
        <v>49</v>
      </c>
      <c r="J4" s="8" t="s">
        <v>50</v>
      </c>
      <c r="K4" s="8" t="s">
        <v>51</v>
      </c>
      <c r="L4" s="8" t="n">
        <v>200</v>
      </c>
      <c r="M4" s="8" t="n">
        <v>119</v>
      </c>
      <c r="N4" s="8" t="n">
        <v>102</v>
      </c>
      <c r="O4" s="10" t="n">
        <f aca="false">N4/L4</f>
        <v>0.51</v>
      </c>
      <c r="P4" s="11" t="n">
        <v>25</v>
      </c>
      <c r="Q4" s="11" t="n">
        <f aca="false">M4*P4</f>
        <v>2975</v>
      </c>
      <c r="R4" s="11" t="n">
        <v>533.7</v>
      </c>
      <c r="S4" s="11" t="n">
        <f aca="false">Q4+R4</f>
        <v>3508.7</v>
      </c>
      <c r="T4" s="11" t="n">
        <v>1189.63</v>
      </c>
      <c r="U4" s="11" t="n">
        <f aca="false">S4-T4</f>
        <v>2319.07</v>
      </c>
      <c r="V4" s="8" t="n">
        <v>52117</v>
      </c>
    </row>
    <row r="5" customFormat="false" ht="15" hidden="false" customHeight="false" outlineLevel="0" collapsed="false">
      <c r="A5" s="8" t="s">
        <v>52</v>
      </c>
      <c r="B5" s="8" t="s">
        <v>53</v>
      </c>
      <c r="C5" s="9" t="n">
        <v>45679</v>
      </c>
      <c r="D5" s="8" t="str">
        <f aca="false">TEXT(C5,"dddd")</f>
        <v>Wednesday</v>
      </c>
      <c r="E5" s="8" t="str">
        <f aca="false">TEXT(C5,"mmm")</f>
        <v>Jan</v>
      </c>
      <c r="F5" s="8" t="s">
        <v>47</v>
      </c>
      <c r="G5" s="8" t="s">
        <v>48</v>
      </c>
      <c r="H5" s="8" t="s">
        <v>33</v>
      </c>
      <c r="I5" s="8" t="s">
        <v>54</v>
      </c>
      <c r="J5" s="8" t="s">
        <v>55</v>
      </c>
      <c r="K5" s="8" t="s">
        <v>44</v>
      </c>
      <c r="L5" s="8" t="n">
        <v>1000</v>
      </c>
      <c r="M5" s="8" t="n">
        <v>663</v>
      </c>
      <c r="N5" s="8" t="n">
        <v>635</v>
      </c>
      <c r="O5" s="10" t="n">
        <f aca="false">N5/L5</f>
        <v>0.635</v>
      </c>
      <c r="P5" s="11" t="n">
        <v>20</v>
      </c>
      <c r="Q5" s="11" t="n">
        <f aca="false">M5*P5</f>
        <v>13260</v>
      </c>
      <c r="R5" s="11" t="n">
        <v>2010.29</v>
      </c>
      <c r="S5" s="11" t="n">
        <f aca="false">Q5+R5</f>
        <v>15270.29</v>
      </c>
      <c r="T5" s="11" t="n">
        <v>535.21</v>
      </c>
      <c r="U5" s="11" t="n">
        <f aca="false">S5-T5</f>
        <v>14735.08</v>
      </c>
      <c r="V5" s="8" t="n">
        <v>18217</v>
      </c>
    </row>
    <row r="6" customFormat="false" ht="15" hidden="false" customHeight="false" outlineLevel="0" collapsed="false">
      <c r="A6" s="8" t="s">
        <v>56</v>
      </c>
      <c r="B6" s="8" t="s">
        <v>57</v>
      </c>
      <c r="C6" s="9" t="n">
        <v>45686</v>
      </c>
      <c r="D6" s="8" t="str">
        <f aca="false">TEXT(C6,"dddd")</f>
        <v>Wednesday</v>
      </c>
      <c r="E6" s="8" t="str">
        <f aca="false">TEXT(C6,"mmm")</f>
        <v>Jan</v>
      </c>
      <c r="F6" s="8" t="s">
        <v>58</v>
      </c>
      <c r="G6" s="8" t="s">
        <v>40</v>
      </c>
      <c r="H6" s="8" t="s">
        <v>59</v>
      </c>
      <c r="I6" s="8" t="s">
        <v>60</v>
      </c>
      <c r="J6" s="8" t="s">
        <v>61</v>
      </c>
      <c r="K6" s="8" t="s">
        <v>62</v>
      </c>
      <c r="L6" s="8" t="n">
        <v>700</v>
      </c>
      <c r="M6" s="8" t="n">
        <v>638</v>
      </c>
      <c r="N6" s="8" t="n">
        <v>588</v>
      </c>
      <c r="O6" s="10" t="n">
        <f aca="false">N6/L6</f>
        <v>0.84</v>
      </c>
      <c r="P6" s="11" t="n">
        <v>28</v>
      </c>
      <c r="Q6" s="11" t="n">
        <f aca="false">M6*P6</f>
        <v>17864</v>
      </c>
      <c r="R6" s="11" t="n">
        <v>3112.19</v>
      </c>
      <c r="S6" s="11" t="n">
        <f aca="false">Q6+R6</f>
        <v>20976.19</v>
      </c>
      <c r="T6" s="11" t="n">
        <v>1441.6</v>
      </c>
      <c r="U6" s="11" t="n">
        <f aca="false">S6-T6</f>
        <v>19534.59</v>
      </c>
      <c r="V6" s="8" t="n">
        <v>16055</v>
      </c>
    </row>
    <row r="7" customFormat="false" ht="15" hidden="false" customHeight="false" outlineLevel="0" collapsed="false">
      <c r="A7" s="8" t="s">
        <v>63</v>
      </c>
      <c r="B7" s="8" t="s">
        <v>64</v>
      </c>
      <c r="C7" s="9" t="n">
        <v>45693</v>
      </c>
      <c r="D7" s="8" t="str">
        <f aca="false">TEXT(C7,"dddd")</f>
        <v>Wednesday</v>
      </c>
      <c r="E7" s="8" t="str">
        <f aca="false">TEXT(C7,"mmm")</f>
        <v>Feb</v>
      </c>
      <c r="F7" s="8" t="s">
        <v>65</v>
      </c>
      <c r="G7" s="8" t="s">
        <v>32</v>
      </c>
      <c r="H7" s="8" t="s">
        <v>66</v>
      </c>
      <c r="I7" s="8" t="s">
        <v>67</v>
      </c>
      <c r="J7" s="8" t="s">
        <v>68</v>
      </c>
      <c r="K7" s="8" t="s">
        <v>69</v>
      </c>
      <c r="L7" s="8" t="n">
        <v>300</v>
      </c>
      <c r="M7" s="8" t="n">
        <v>261</v>
      </c>
      <c r="N7" s="8" t="n">
        <v>226</v>
      </c>
      <c r="O7" s="10" t="n">
        <f aca="false">N7/L7</f>
        <v>0.753333333333333</v>
      </c>
      <c r="P7" s="11" t="n">
        <v>20</v>
      </c>
      <c r="Q7" s="11" t="n">
        <f aca="false">M7*P7</f>
        <v>5220</v>
      </c>
      <c r="R7" s="11" t="n">
        <v>589.82</v>
      </c>
      <c r="S7" s="11" t="n">
        <f aca="false">Q7+R7</f>
        <v>5809.82</v>
      </c>
      <c r="T7" s="11" t="n">
        <v>1098.19</v>
      </c>
      <c r="U7" s="11" t="n">
        <f aca="false">S7-T7</f>
        <v>4711.63</v>
      </c>
      <c r="V7" s="8" t="n">
        <v>17976</v>
      </c>
    </row>
    <row r="8" customFormat="false" ht="15" hidden="false" customHeight="false" outlineLevel="0" collapsed="false">
      <c r="A8" s="8" t="s">
        <v>70</v>
      </c>
      <c r="B8" s="8" t="s">
        <v>71</v>
      </c>
      <c r="C8" s="9" t="n">
        <v>45700</v>
      </c>
      <c r="D8" s="8" t="str">
        <f aca="false">TEXT(C8,"dddd")</f>
        <v>Wednesday</v>
      </c>
      <c r="E8" s="8" t="str">
        <f aca="false">TEXT(C8,"mmm")</f>
        <v>Feb</v>
      </c>
      <c r="F8" s="8" t="s">
        <v>39</v>
      </c>
      <c r="G8" s="8" t="s">
        <v>48</v>
      </c>
      <c r="H8" s="8" t="s">
        <v>72</v>
      </c>
      <c r="I8" s="8" t="s">
        <v>73</v>
      </c>
      <c r="J8" s="8" t="s">
        <v>74</v>
      </c>
      <c r="K8" s="8" t="s">
        <v>69</v>
      </c>
      <c r="L8" s="8" t="n">
        <v>2800</v>
      </c>
      <c r="M8" s="8" t="n">
        <v>1567</v>
      </c>
      <c r="N8" s="8" t="n">
        <v>1470</v>
      </c>
      <c r="O8" s="10" t="n">
        <f aca="false">N8/L8</f>
        <v>0.525</v>
      </c>
      <c r="P8" s="11" t="n">
        <v>18</v>
      </c>
      <c r="Q8" s="11" t="n">
        <f aca="false">M8*P8</f>
        <v>28206</v>
      </c>
      <c r="R8" s="11" t="n">
        <v>4750.24</v>
      </c>
      <c r="S8" s="11" t="n">
        <f aca="false">Q8+R8</f>
        <v>32956.24</v>
      </c>
      <c r="T8" s="11" t="n">
        <v>1153.42</v>
      </c>
      <c r="U8" s="11" t="n">
        <f aca="false">S8-T8</f>
        <v>31802.82</v>
      </c>
      <c r="V8" s="8" t="n">
        <v>29678</v>
      </c>
    </row>
    <row r="9" customFormat="false" ht="15" hidden="false" customHeight="false" outlineLevel="0" collapsed="false">
      <c r="A9" s="8" t="s">
        <v>75</v>
      </c>
      <c r="B9" s="8" t="s">
        <v>76</v>
      </c>
      <c r="C9" s="9" t="n">
        <v>45707</v>
      </c>
      <c r="D9" s="8" t="str">
        <f aca="false">TEXT(C9,"dddd")</f>
        <v>Wednesday</v>
      </c>
      <c r="E9" s="8" t="str">
        <f aca="false">TEXT(C9,"mmm")</f>
        <v>Feb</v>
      </c>
      <c r="F9" s="8" t="s">
        <v>58</v>
      </c>
      <c r="G9" s="8" t="s">
        <v>48</v>
      </c>
      <c r="H9" s="8" t="s">
        <v>66</v>
      </c>
      <c r="I9" s="8" t="s">
        <v>77</v>
      </c>
      <c r="J9" s="8" t="s">
        <v>43</v>
      </c>
      <c r="K9" s="8" t="s">
        <v>44</v>
      </c>
      <c r="L9" s="8" t="n">
        <v>450</v>
      </c>
      <c r="M9" s="8" t="n">
        <v>248</v>
      </c>
      <c r="N9" s="8" t="n">
        <v>234</v>
      </c>
      <c r="O9" s="10" t="n">
        <f aca="false">N9/L9</f>
        <v>0.52</v>
      </c>
      <c r="P9" s="11" t="n">
        <v>25</v>
      </c>
      <c r="Q9" s="11" t="n">
        <f aca="false">M9*P9</f>
        <v>6200</v>
      </c>
      <c r="R9" s="11" t="n">
        <v>1374.4</v>
      </c>
      <c r="S9" s="11" t="n">
        <f aca="false">Q9+R9</f>
        <v>7574.4</v>
      </c>
      <c r="T9" s="11" t="n">
        <v>1419.14</v>
      </c>
      <c r="U9" s="11" t="n">
        <f aca="false">S9-T9</f>
        <v>6155.26</v>
      </c>
      <c r="V9" s="8" t="n">
        <v>31937</v>
      </c>
    </row>
    <row r="10" customFormat="false" ht="15" hidden="false" customHeight="false" outlineLevel="0" collapsed="false">
      <c r="A10" s="8" t="s">
        <v>78</v>
      </c>
      <c r="B10" s="8" t="s">
        <v>79</v>
      </c>
      <c r="C10" s="9" t="n">
        <v>45715</v>
      </c>
      <c r="D10" s="8" t="str">
        <f aca="false">TEXT(C10,"dddd")</f>
        <v>Thursday</v>
      </c>
      <c r="E10" s="8" t="str">
        <f aca="false">TEXT(C10,"mmm")</f>
        <v>Feb</v>
      </c>
      <c r="F10" s="8" t="s">
        <v>39</v>
      </c>
      <c r="G10" s="8" t="s">
        <v>80</v>
      </c>
      <c r="H10" s="8" t="s">
        <v>59</v>
      </c>
      <c r="I10" s="8" t="s">
        <v>81</v>
      </c>
      <c r="J10" s="8" t="s">
        <v>61</v>
      </c>
      <c r="K10" s="8" t="s">
        <v>62</v>
      </c>
      <c r="L10" s="8" t="n">
        <v>700</v>
      </c>
      <c r="M10" s="8" t="n">
        <v>646</v>
      </c>
      <c r="N10" s="8" t="n">
        <v>626</v>
      </c>
      <c r="O10" s="10" t="n">
        <f aca="false">N10/L10</f>
        <v>0.894285714285714</v>
      </c>
      <c r="P10" s="11" t="n">
        <v>28</v>
      </c>
      <c r="Q10" s="11" t="n">
        <f aca="false">M10*P10</f>
        <v>18088</v>
      </c>
      <c r="R10" s="11" t="n">
        <v>2315.4</v>
      </c>
      <c r="S10" s="11" t="n">
        <f aca="false">Q10+R10</f>
        <v>20403.4</v>
      </c>
      <c r="T10" s="11" t="n">
        <v>378.99</v>
      </c>
      <c r="U10" s="11" t="n">
        <f aca="false">S10-T10</f>
        <v>20024.41</v>
      </c>
      <c r="V10" s="8" t="n">
        <v>23689</v>
      </c>
    </row>
    <row r="11" customFormat="false" ht="15" hidden="false" customHeight="false" outlineLevel="0" collapsed="false">
      <c r="A11" s="8" t="s">
        <v>82</v>
      </c>
      <c r="B11" s="8" t="s">
        <v>83</v>
      </c>
      <c r="C11" s="9" t="n">
        <v>45719</v>
      </c>
      <c r="D11" s="8" t="str">
        <f aca="false">TEXT(C11,"dddd")</f>
        <v>Monday</v>
      </c>
      <c r="E11" s="8" t="str">
        <f aca="false">TEXT(C11,"mmm")</f>
        <v>Mar</v>
      </c>
      <c r="F11" s="8" t="s">
        <v>31</v>
      </c>
      <c r="G11" s="8" t="s">
        <v>40</v>
      </c>
      <c r="H11" s="8" t="s">
        <v>84</v>
      </c>
      <c r="I11" s="8" t="s">
        <v>85</v>
      </c>
      <c r="J11" s="8" t="s">
        <v>61</v>
      </c>
      <c r="K11" s="8" t="s">
        <v>62</v>
      </c>
      <c r="L11" s="8" t="n">
        <v>700</v>
      </c>
      <c r="M11" s="8" t="n">
        <v>547</v>
      </c>
      <c r="N11" s="8" t="n">
        <v>498</v>
      </c>
      <c r="O11" s="10" t="n">
        <f aca="false">N11/L11</f>
        <v>0.711428571428571</v>
      </c>
      <c r="P11" s="11" t="n">
        <v>40</v>
      </c>
      <c r="Q11" s="11" t="n">
        <f aca="false">M11*P11</f>
        <v>21880</v>
      </c>
      <c r="R11" s="11" t="n">
        <v>1117.05</v>
      </c>
      <c r="S11" s="11" t="n">
        <f aca="false">Q11+R11</f>
        <v>22997.05</v>
      </c>
      <c r="T11" s="11" t="n">
        <v>1044.28</v>
      </c>
      <c r="U11" s="11" t="n">
        <f aca="false">S11-T11</f>
        <v>21952.77</v>
      </c>
      <c r="V11" s="8" t="n">
        <v>37575</v>
      </c>
    </row>
    <row r="12" customFormat="false" ht="15" hidden="false" customHeight="false" outlineLevel="0" collapsed="false">
      <c r="A12" s="8" t="s">
        <v>86</v>
      </c>
      <c r="B12" s="8" t="s">
        <v>87</v>
      </c>
      <c r="C12" s="9" t="n">
        <v>45726</v>
      </c>
      <c r="D12" s="8" t="str">
        <f aca="false">TEXT(C12,"dddd")</f>
        <v>Monday</v>
      </c>
      <c r="E12" s="8" t="str">
        <f aca="false">TEXT(C12,"mmm")</f>
        <v>Mar</v>
      </c>
      <c r="F12" s="8" t="s">
        <v>47</v>
      </c>
      <c r="G12" s="8" t="s">
        <v>88</v>
      </c>
      <c r="H12" s="8" t="s">
        <v>72</v>
      </c>
      <c r="I12" s="8" t="s">
        <v>89</v>
      </c>
      <c r="J12" s="8" t="s">
        <v>43</v>
      </c>
      <c r="K12" s="8" t="s">
        <v>44</v>
      </c>
      <c r="L12" s="8" t="n">
        <v>450</v>
      </c>
      <c r="M12" s="8" t="n">
        <v>305</v>
      </c>
      <c r="N12" s="8" t="n">
        <v>260</v>
      </c>
      <c r="O12" s="10" t="n">
        <f aca="false">N12/L12</f>
        <v>0.577777777777778</v>
      </c>
      <c r="P12" s="11" t="n">
        <v>40</v>
      </c>
      <c r="Q12" s="11" t="n">
        <f aca="false">M12*P12</f>
        <v>12200</v>
      </c>
      <c r="R12" s="11" t="n">
        <v>659.23</v>
      </c>
      <c r="S12" s="11" t="n">
        <f aca="false">Q12+R12</f>
        <v>12859.23</v>
      </c>
      <c r="T12" s="11" t="n">
        <v>552.35</v>
      </c>
      <c r="U12" s="11" t="n">
        <f aca="false">S12-T12</f>
        <v>12306.88</v>
      </c>
      <c r="V12" s="8" t="n">
        <v>7046</v>
      </c>
    </row>
    <row r="13" customFormat="false" ht="15" hidden="false" customHeight="false" outlineLevel="0" collapsed="false">
      <c r="A13" s="8" t="s">
        <v>90</v>
      </c>
      <c r="B13" s="8" t="s">
        <v>91</v>
      </c>
      <c r="C13" s="9" t="n">
        <v>45731</v>
      </c>
      <c r="D13" s="8" t="str">
        <f aca="false">TEXT(C13,"dddd")</f>
        <v>Saturday</v>
      </c>
      <c r="E13" s="8" t="str">
        <f aca="false">TEXT(C13,"mmm")</f>
        <v>Mar</v>
      </c>
      <c r="F13" s="8" t="s">
        <v>31</v>
      </c>
      <c r="G13" s="8" t="s">
        <v>88</v>
      </c>
      <c r="H13" s="8" t="s">
        <v>84</v>
      </c>
      <c r="I13" s="8" t="s">
        <v>92</v>
      </c>
      <c r="J13" s="8" t="s">
        <v>93</v>
      </c>
      <c r="K13" s="8" t="s">
        <v>36</v>
      </c>
      <c r="L13" s="8" t="n">
        <v>470</v>
      </c>
      <c r="M13" s="8" t="n">
        <v>397</v>
      </c>
      <c r="N13" s="8" t="n">
        <v>344</v>
      </c>
      <c r="O13" s="10" t="n">
        <f aca="false">N13/L13</f>
        <v>0.731914893617021</v>
      </c>
      <c r="P13" s="11" t="n">
        <v>35</v>
      </c>
      <c r="Q13" s="11" t="n">
        <f aca="false">M13*P13</f>
        <v>13895</v>
      </c>
      <c r="R13" s="11" t="n">
        <v>892.16</v>
      </c>
      <c r="S13" s="11" t="n">
        <f aca="false">Q13+R13</f>
        <v>14787.16</v>
      </c>
      <c r="T13" s="11" t="n">
        <v>956.76</v>
      </c>
      <c r="U13" s="11" t="n">
        <f aca="false">S13-T13</f>
        <v>13830.4</v>
      </c>
      <c r="V13" s="8" t="n">
        <v>26202</v>
      </c>
    </row>
    <row r="14" customFormat="false" ht="15" hidden="false" customHeight="false" outlineLevel="0" collapsed="false">
      <c r="A14" s="8" t="s">
        <v>94</v>
      </c>
      <c r="B14" s="8" t="s">
        <v>95</v>
      </c>
      <c r="C14" s="9" t="n">
        <v>45738</v>
      </c>
      <c r="D14" s="8" t="str">
        <f aca="false">TEXT(C14,"dddd")</f>
        <v>Saturday</v>
      </c>
      <c r="E14" s="8" t="str">
        <f aca="false">TEXT(C14,"mmm")</f>
        <v>Mar</v>
      </c>
      <c r="F14" s="8" t="s">
        <v>58</v>
      </c>
      <c r="G14" s="8" t="s">
        <v>48</v>
      </c>
      <c r="H14" s="8" t="s">
        <v>72</v>
      </c>
      <c r="I14" s="8" t="s">
        <v>96</v>
      </c>
      <c r="J14" s="8" t="s">
        <v>97</v>
      </c>
      <c r="K14" s="8" t="s">
        <v>98</v>
      </c>
      <c r="L14" s="8" t="n">
        <v>850</v>
      </c>
      <c r="M14" s="8" t="n">
        <v>564</v>
      </c>
      <c r="N14" s="8" t="n">
        <v>542</v>
      </c>
      <c r="O14" s="10" t="n">
        <f aca="false">N14/L14</f>
        <v>0.63764705882353</v>
      </c>
      <c r="P14" s="11" t="n">
        <v>22</v>
      </c>
      <c r="Q14" s="11" t="n">
        <f aca="false">M14*P14</f>
        <v>12408</v>
      </c>
      <c r="R14" s="11" t="n">
        <v>1280.29</v>
      </c>
      <c r="S14" s="11" t="n">
        <f aca="false">Q14+R14</f>
        <v>13688.29</v>
      </c>
      <c r="T14" s="11" t="n">
        <v>1058.06</v>
      </c>
      <c r="U14" s="11" t="n">
        <f aca="false">S14-T14</f>
        <v>12630.23</v>
      </c>
      <c r="V14" s="8" t="n">
        <v>10990</v>
      </c>
    </row>
    <row r="15" customFormat="false" ht="15" hidden="false" customHeight="false" outlineLevel="0" collapsed="false">
      <c r="A15" s="8" t="s">
        <v>99</v>
      </c>
      <c r="B15" s="8" t="s">
        <v>100</v>
      </c>
      <c r="C15" s="9" t="n">
        <v>45745</v>
      </c>
      <c r="D15" s="8" t="str">
        <f aca="false">TEXT(C15,"dddd")</f>
        <v>Saturday</v>
      </c>
      <c r="E15" s="8" t="str">
        <f aca="false">TEXT(C15,"mmm")</f>
        <v>Mar</v>
      </c>
      <c r="F15" s="8" t="s">
        <v>31</v>
      </c>
      <c r="G15" s="8" t="s">
        <v>48</v>
      </c>
      <c r="H15" s="8" t="s">
        <v>84</v>
      </c>
      <c r="I15" s="8" t="s">
        <v>101</v>
      </c>
      <c r="J15" s="8" t="s">
        <v>93</v>
      </c>
      <c r="K15" s="8" t="s">
        <v>36</v>
      </c>
      <c r="L15" s="8" t="n">
        <v>470</v>
      </c>
      <c r="M15" s="8" t="n">
        <v>437</v>
      </c>
      <c r="N15" s="8" t="n">
        <v>419</v>
      </c>
      <c r="O15" s="10" t="n">
        <f aca="false">N15/L15</f>
        <v>0.891489361702128</v>
      </c>
      <c r="P15" s="11" t="n">
        <v>20</v>
      </c>
      <c r="Q15" s="11" t="n">
        <f aca="false">M15*P15</f>
        <v>8740</v>
      </c>
      <c r="R15" s="11" t="n">
        <v>1394.79</v>
      </c>
      <c r="S15" s="11" t="n">
        <f aca="false">Q15+R15</f>
        <v>10134.79</v>
      </c>
      <c r="T15" s="11" t="n">
        <v>970.17</v>
      </c>
      <c r="U15" s="11" t="n">
        <f aca="false">S15-T15</f>
        <v>9164.62</v>
      </c>
      <c r="V15" s="8" t="n">
        <v>52285</v>
      </c>
    </row>
    <row r="16" customFormat="false" ht="15" hidden="false" customHeight="false" outlineLevel="0" collapsed="false">
      <c r="A16" s="8" t="s">
        <v>102</v>
      </c>
      <c r="B16" s="8" t="s">
        <v>103</v>
      </c>
      <c r="C16" s="9" t="n">
        <v>45766</v>
      </c>
      <c r="D16" s="8" t="str">
        <f aca="false">TEXT(C16,"dddd")</f>
        <v>Saturday</v>
      </c>
      <c r="E16" s="8" t="str">
        <f aca="false">TEXT(C16,"mmm")</f>
        <v>Apr</v>
      </c>
      <c r="F16" s="8" t="s">
        <v>39</v>
      </c>
      <c r="G16" s="8" t="s">
        <v>88</v>
      </c>
      <c r="H16" s="8" t="s">
        <v>104</v>
      </c>
      <c r="I16" s="8" t="s">
        <v>105</v>
      </c>
      <c r="J16" s="8" t="s">
        <v>97</v>
      </c>
      <c r="K16" s="8" t="s">
        <v>98</v>
      </c>
      <c r="L16" s="8" t="n">
        <v>850</v>
      </c>
      <c r="M16" s="8" t="n">
        <v>568</v>
      </c>
      <c r="N16" s="8" t="n">
        <v>487</v>
      </c>
      <c r="O16" s="10" t="n">
        <f aca="false">N16/L16</f>
        <v>0.572941176470588</v>
      </c>
      <c r="P16" s="11" t="n">
        <v>40</v>
      </c>
      <c r="Q16" s="11" t="n">
        <f aca="false">M16*P16</f>
        <v>22720</v>
      </c>
      <c r="R16" s="11" t="n">
        <v>864.09</v>
      </c>
      <c r="S16" s="11" t="n">
        <f aca="false">Q16+R16</f>
        <v>23584.09</v>
      </c>
      <c r="T16" s="11" t="n">
        <v>701.77</v>
      </c>
      <c r="U16" s="11" t="n">
        <f aca="false">S16-T16</f>
        <v>22882.32</v>
      </c>
      <c r="V16" s="8" t="n">
        <v>5858</v>
      </c>
    </row>
    <row r="17" customFormat="false" ht="15" hidden="false" customHeight="false" outlineLevel="0" collapsed="false">
      <c r="A17" s="8" t="s">
        <v>106</v>
      </c>
      <c r="B17" s="8" t="s">
        <v>107</v>
      </c>
      <c r="C17" s="9" t="n">
        <v>45770</v>
      </c>
      <c r="D17" s="8" t="str">
        <f aca="false">TEXT(C17,"dddd")</f>
        <v>Wednesday</v>
      </c>
      <c r="E17" s="8" t="str">
        <f aca="false">TEXT(C17,"mmm")</f>
        <v>Apr</v>
      </c>
      <c r="F17" s="8" t="s">
        <v>65</v>
      </c>
      <c r="G17" s="8" t="s">
        <v>88</v>
      </c>
      <c r="H17" s="8" t="s">
        <v>84</v>
      </c>
      <c r="I17" s="8" t="s">
        <v>108</v>
      </c>
      <c r="J17" s="8" t="s">
        <v>109</v>
      </c>
      <c r="K17" s="8" t="s">
        <v>36</v>
      </c>
      <c r="L17" s="8" t="n">
        <v>500</v>
      </c>
      <c r="M17" s="8" t="n">
        <v>403</v>
      </c>
      <c r="N17" s="8" t="n">
        <v>372</v>
      </c>
      <c r="O17" s="10" t="n">
        <f aca="false">N17/L17</f>
        <v>0.744</v>
      </c>
      <c r="P17" s="11" t="n">
        <v>15</v>
      </c>
      <c r="Q17" s="11" t="n">
        <f aca="false">M17*P17</f>
        <v>6045</v>
      </c>
      <c r="R17" s="11" t="n">
        <v>1594.84</v>
      </c>
      <c r="S17" s="11" t="n">
        <f aca="false">Q17+R17</f>
        <v>7639.84</v>
      </c>
      <c r="T17" s="11" t="n">
        <v>870.76</v>
      </c>
      <c r="U17" s="11" t="n">
        <f aca="false">S17-T17</f>
        <v>6769.08</v>
      </c>
      <c r="V17" s="8" t="n">
        <v>36269</v>
      </c>
    </row>
    <row r="18" customFormat="false" ht="15" hidden="false" customHeight="false" outlineLevel="0" collapsed="false">
      <c r="A18" s="8" t="s">
        <v>110</v>
      </c>
      <c r="B18" s="8" t="s">
        <v>111</v>
      </c>
      <c r="C18" s="9" t="n">
        <v>45776</v>
      </c>
      <c r="D18" s="8" t="str">
        <f aca="false">TEXT(C18,"dddd")</f>
        <v>Tuesday</v>
      </c>
      <c r="E18" s="8" t="str">
        <f aca="false">TEXT(C18,"mmm")</f>
        <v>Apr</v>
      </c>
      <c r="F18" s="8" t="s">
        <v>31</v>
      </c>
      <c r="G18" s="8" t="s">
        <v>80</v>
      </c>
      <c r="H18" s="8" t="s">
        <v>41</v>
      </c>
      <c r="I18" s="8" t="s">
        <v>112</v>
      </c>
      <c r="J18" s="8" t="s">
        <v>43</v>
      </c>
      <c r="K18" s="8" t="s">
        <v>44</v>
      </c>
      <c r="L18" s="8" t="n">
        <v>450</v>
      </c>
      <c r="M18" s="8" t="n">
        <v>342</v>
      </c>
      <c r="N18" s="8" t="n">
        <v>304</v>
      </c>
      <c r="O18" s="10" t="n">
        <f aca="false">N18/L18</f>
        <v>0.675555555555556</v>
      </c>
      <c r="P18" s="11" t="n">
        <v>18</v>
      </c>
      <c r="Q18" s="11" t="n">
        <f aca="false">M18*P18</f>
        <v>6156</v>
      </c>
      <c r="R18" s="11" t="n">
        <v>468.74</v>
      </c>
      <c r="S18" s="11" t="n">
        <f aca="false">Q18+R18</f>
        <v>6624.74</v>
      </c>
      <c r="T18" s="11" t="n">
        <v>1193.85</v>
      </c>
      <c r="U18" s="11" t="n">
        <f aca="false">S18-T18</f>
        <v>5430.89</v>
      </c>
      <c r="V18" s="8" t="n">
        <v>35090</v>
      </c>
    </row>
    <row r="19" customFormat="false" ht="15" hidden="false" customHeight="false" outlineLevel="0" collapsed="false">
      <c r="A19" s="8" t="s">
        <v>113</v>
      </c>
      <c r="B19" s="8" t="s">
        <v>114</v>
      </c>
      <c r="C19" s="9" t="n">
        <v>45783</v>
      </c>
      <c r="D19" s="8" t="str">
        <f aca="false">TEXT(C19,"dddd")</f>
        <v>Tuesday</v>
      </c>
      <c r="E19" s="8" t="str">
        <f aca="false">TEXT(C19,"mmm")</f>
        <v>May</v>
      </c>
      <c r="F19" s="8" t="s">
        <v>58</v>
      </c>
      <c r="G19" s="8" t="s">
        <v>48</v>
      </c>
      <c r="H19" s="8" t="s">
        <v>66</v>
      </c>
      <c r="I19" s="8" t="s">
        <v>115</v>
      </c>
      <c r="J19" s="8" t="s">
        <v>116</v>
      </c>
      <c r="K19" s="8" t="s">
        <v>51</v>
      </c>
      <c r="L19" s="8" t="n">
        <v>1400</v>
      </c>
      <c r="M19" s="8" t="n">
        <v>877</v>
      </c>
      <c r="N19" s="8" t="n">
        <v>807</v>
      </c>
      <c r="O19" s="10" t="n">
        <f aca="false">N19/L19</f>
        <v>0.576428571428571</v>
      </c>
      <c r="P19" s="11" t="n">
        <v>25</v>
      </c>
      <c r="Q19" s="11" t="n">
        <f aca="false">M19*P19</f>
        <v>21925</v>
      </c>
      <c r="R19" s="11" t="n">
        <v>3431.81</v>
      </c>
      <c r="S19" s="11" t="n">
        <f aca="false">Q19+R19</f>
        <v>25356.81</v>
      </c>
      <c r="T19" s="11" t="n">
        <v>1779.57</v>
      </c>
      <c r="U19" s="11" t="n">
        <f aca="false">S19-T19</f>
        <v>23577.24</v>
      </c>
      <c r="V19" s="8" t="n">
        <v>40276</v>
      </c>
    </row>
    <row r="20" customFormat="false" ht="15" hidden="false" customHeight="false" outlineLevel="0" collapsed="false">
      <c r="A20" s="8" t="s">
        <v>117</v>
      </c>
      <c r="B20" s="8" t="s">
        <v>118</v>
      </c>
      <c r="C20" s="9" t="n">
        <v>45790</v>
      </c>
      <c r="D20" s="8" t="str">
        <f aca="false">TEXT(C20,"dddd")</f>
        <v>Tuesday</v>
      </c>
      <c r="E20" s="8" t="str">
        <f aca="false">TEXT(C20,"mmm")</f>
        <v>May</v>
      </c>
      <c r="F20" s="8" t="s">
        <v>39</v>
      </c>
      <c r="G20" s="8" t="s">
        <v>48</v>
      </c>
      <c r="H20" s="8" t="s">
        <v>84</v>
      </c>
      <c r="I20" s="8" t="s">
        <v>119</v>
      </c>
      <c r="J20" s="8" t="s">
        <v>120</v>
      </c>
      <c r="K20" s="8" t="s">
        <v>69</v>
      </c>
      <c r="L20" s="8" t="n">
        <v>550</v>
      </c>
      <c r="M20" s="8" t="n">
        <v>348</v>
      </c>
      <c r="N20" s="8" t="n">
        <v>328</v>
      </c>
      <c r="O20" s="10" t="n">
        <f aca="false">N20/L20</f>
        <v>0.596363636363636</v>
      </c>
      <c r="P20" s="11" t="n">
        <v>22</v>
      </c>
      <c r="Q20" s="11" t="n">
        <f aca="false">M20*P20</f>
        <v>7656</v>
      </c>
      <c r="R20" s="11" t="n">
        <v>1506.75</v>
      </c>
      <c r="S20" s="11" t="n">
        <f aca="false">Q20+R20</f>
        <v>9162.75</v>
      </c>
      <c r="T20" s="11" t="n">
        <v>1564.66</v>
      </c>
      <c r="U20" s="11" t="n">
        <f aca="false">S20-T20</f>
        <v>7598.09</v>
      </c>
      <c r="V20" s="8" t="n">
        <v>31808</v>
      </c>
    </row>
    <row r="21" customFormat="false" ht="15" hidden="false" customHeight="false" outlineLevel="0" collapsed="false">
      <c r="A21" s="8" t="s">
        <v>121</v>
      </c>
      <c r="B21" s="8" t="s">
        <v>122</v>
      </c>
      <c r="C21" s="9" t="n">
        <v>45794</v>
      </c>
      <c r="D21" s="8" t="str">
        <f aca="false">TEXT(C21,"dddd")</f>
        <v>Saturday</v>
      </c>
      <c r="E21" s="8" t="str">
        <f aca="false">TEXT(C21,"mmm")</f>
        <v>May</v>
      </c>
      <c r="F21" s="8" t="s">
        <v>31</v>
      </c>
      <c r="G21" s="8" t="s">
        <v>80</v>
      </c>
      <c r="H21" s="8" t="s">
        <v>123</v>
      </c>
      <c r="I21" s="8" t="s">
        <v>124</v>
      </c>
      <c r="J21" s="8" t="s">
        <v>116</v>
      </c>
      <c r="K21" s="8" t="s">
        <v>51</v>
      </c>
      <c r="L21" s="8" t="n">
        <v>1400</v>
      </c>
      <c r="M21" s="8" t="n">
        <v>812</v>
      </c>
      <c r="N21" s="8" t="n">
        <v>764</v>
      </c>
      <c r="O21" s="10" t="n">
        <f aca="false">N21/L21</f>
        <v>0.545714285714286</v>
      </c>
      <c r="P21" s="11" t="n">
        <v>40</v>
      </c>
      <c r="Q21" s="11" t="n">
        <f aca="false">M21*P21</f>
        <v>32480</v>
      </c>
      <c r="R21" s="11" t="n">
        <v>1179.24</v>
      </c>
      <c r="S21" s="11" t="n">
        <f aca="false">Q21+R21</f>
        <v>33659.24</v>
      </c>
      <c r="T21" s="11" t="n">
        <v>320.39</v>
      </c>
      <c r="U21" s="11" t="n">
        <f aca="false">S21-T21</f>
        <v>33338.85</v>
      </c>
      <c r="V21" s="8" t="n">
        <v>53337</v>
      </c>
    </row>
    <row r="22" customFormat="false" ht="15" hidden="false" customHeight="false" outlineLevel="0" collapsed="false">
      <c r="A22" s="8" t="s">
        <v>125</v>
      </c>
      <c r="B22" s="8" t="s">
        <v>126</v>
      </c>
      <c r="C22" s="9" t="n">
        <v>45802</v>
      </c>
      <c r="D22" s="8" t="str">
        <f aca="false">TEXT(C22,"dddd")</f>
        <v>Sunday</v>
      </c>
      <c r="E22" s="8" t="str">
        <f aca="false">TEXT(C22,"mmm")</f>
        <v>May</v>
      </c>
      <c r="F22" s="8" t="s">
        <v>58</v>
      </c>
      <c r="G22" s="8" t="s">
        <v>32</v>
      </c>
      <c r="H22" s="8" t="s">
        <v>104</v>
      </c>
      <c r="I22" s="8" t="s">
        <v>127</v>
      </c>
      <c r="J22" s="8" t="s">
        <v>61</v>
      </c>
      <c r="K22" s="8" t="s">
        <v>62</v>
      </c>
      <c r="L22" s="8" t="n">
        <v>700</v>
      </c>
      <c r="M22" s="8" t="n">
        <v>483</v>
      </c>
      <c r="N22" s="8" t="n">
        <v>471</v>
      </c>
      <c r="O22" s="10" t="n">
        <f aca="false">N22/L22</f>
        <v>0.672857142857143</v>
      </c>
      <c r="P22" s="11" t="n">
        <v>15</v>
      </c>
      <c r="Q22" s="11" t="n">
        <f aca="false">M22*P22</f>
        <v>7245</v>
      </c>
      <c r="R22" s="11" t="n">
        <v>2611.77</v>
      </c>
      <c r="S22" s="11" t="n">
        <f aca="false">Q22+R22</f>
        <v>9856.77</v>
      </c>
      <c r="T22" s="11" t="n">
        <v>536.12</v>
      </c>
      <c r="U22" s="11" t="n">
        <f aca="false">S22-T22</f>
        <v>9320.65</v>
      </c>
      <c r="V22" s="8" t="n">
        <v>17223</v>
      </c>
    </row>
    <row r="23" customFormat="false" ht="15" hidden="false" customHeight="false" outlineLevel="0" collapsed="false">
      <c r="A23" s="8" t="s">
        <v>128</v>
      </c>
      <c r="B23" s="8" t="s">
        <v>129</v>
      </c>
      <c r="C23" s="9" t="n">
        <v>45810</v>
      </c>
      <c r="D23" s="8" t="str">
        <f aca="false">TEXT(C23,"dddd")</f>
        <v>Monday</v>
      </c>
      <c r="E23" s="8" t="str">
        <f aca="false">TEXT(C23,"mmm")</f>
        <v>Jun</v>
      </c>
      <c r="F23" s="8" t="s">
        <v>47</v>
      </c>
      <c r="G23" s="8" t="s">
        <v>32</v>
      </c>
      <c r="H23" s="8" t="s">
        <v>59</v>
      </c>
      <c r="I23" s="8" t="s">
        <v>130</v>
      </c>
      <c r="J23" s="8" t="s">
        <v>131</v>
      </c>
      <c r="K23" s="8" t="s">
        <v>98</v>
      </c>
      <c r="L23" s="8" t="n">
        <v>700</v>
      </c>
      <c r="M23" s="8" t="n">
        <v>601</v>
      </c>
      <c r="N23" s="8" t="n">
        <v>568</v>
      </c>
      <c r="O23" s="10" t="n">
        <f aca="false">N23/L23</f>
        <v>0.811428571428571</v>
      </c>
      <c r="P23" s="11" t="n">
        <v>28</v>
      </c>
      <c r="Q23" s="11" t="n">
        <f aca="false">M23*P23</f>
        <v>16828</v>
      </c>
      <c r="R23" s="11" t="n">
        <v>2851.78</v>
      </c>
      <c r="S23" s="11" t="n">
        <f aca="false">Q23+R23</f>
        <v>19679.78</v>
      </c>
      <c r="T23" s="11" t="n">
        <v>858.74</v>
      </c>
      <c r="U23" s="11" t="n">
        <f aca="false">S23-T23</f>
        <v>18821.04</v>
      </c>
      <c r="V23" s="8" t="n">
        <v>41184</v>
      </c>
    </row>
    <row r="24" customFormat="false" ht="15" hidden="false" customHeight="false" outlineLevel="0" collapsed="false">
      <c r="A24" s="8" t="s">
        <v>132</v>
      </c>
      <c r="B24" s="8" t="s">
        <v>133</v>
      </c>
      <c r="C24" s="9" t="n">
        <v>45816</v>
      </c>
      <c r="D24" s="8" t="str">
        <f aca="false">TEXT(C24,"dddd")</f>
        <v>Sunday</v>
      </c>
      <c r="E24" s="8" t="str">
        <f aca="false">TEXT(C24,"mmm")</f>
        <v>Jun</v>
      </c>
      <c r="F24" s="8" t="s">
        <v>39</v>
      </c>
      <c r="G24" s="8" t="s">
        <v>48</v>
      </c>
      <c r="H24" s="8" t="s">
        <v>104</v>
      </c>
      <c r="I24" s="8" t="s">
        <v>134</v>
      </c>
      <c r="J24" s="8" t="s">
        <v>55</v>
      </c>
      <c r="K24" s="8" t="s">
        <v>44</v>
      </c>
      <c r="L24" s="8" t="n">
        <v>1000</v>
      </c>
      <c r="M24" s="8" t="n">
        <v>674</v>
      </c>
      <c r="N24" s="8" t="n">
        <v>603</v>
      </c>
      <c r="O24" s="10" t="n">
        <f aca="false">N24/L24</f>
        <v>0.603</v>
      </c>
      <c r="P24" s="11" t="n">
        <v>22</v>
      </c>
      <c r="Q24" s="11" t="n">
        <f aca="false">M24*P24</f>
        <v>14828</v>
      </c>
      <c r="R24" s="11" t="n">
        <v>1509.4</v>
      </c>
      <c r="S24" s="11" t="n">
        <f aca="false">Q24+R24</f>
        <v>16337.4</v>
      </c>
      <c r="T24" s="11" t="n">
        <v>1256.05</v>
      </c>
      <c r="U24" s="11" t="n">
        <f aca="false">S24-T24</f>
        <v>15081.35</v>
      </c>
      <c r="V24" s="8" t="n">
        <v>25712</v>
      </c>
    </row>
    <row r="25" customFormat="false" ht="15" hidden="false" customHeight="false" outlineLevel="0" collapsed="false">
      <c r="A25" s="8" t="s">
        <v>135</v>
      </c>
      <c r="B25" s="8" t="s">
        <v>136</v>
      </c>
      <c r="C25" s="9" t="n">
        <v>45824</v>
      </c>
      <c r="D25" s="8" t="str">
        <f aca="false">TEXT(C25,"dddd")</f>
        <v>Monday</v>
      </c>
      <c r="E25" s="8" t="str">
        <f aca="false">TEXT(C25,"mmm")</f>
        <v>Jun</v>
      </c>
      <c r="F25" s="8" t="s">
        <v>39</v>
      </c>
      <c r="G25" s="8" t="s">
        <v>48</v>
      </c>
      <c r="H25" s="8" t="s">
        <v>66</v>
      </c>
      <c r="I25" s="8" t="s">
        <v>137</v>
      </c>
      <c r="J25" s="8" t="s">
        <v>43</v>
      </c>
      <c r="K25" s="8" t="s">
        <v>44</v>
      </c>
      <c r="L25" s="8" t="n">
        <v>450</v>
      </c>
      <c r="M25" s="8" t="n">
        <v>301</v>
      </c>
      <c r="N25" s="8" t="n">
        <v>266</v>
      </c>
      <c r="O25" s="10" t="n">
        <f aca="false">N25/L25</f>
        <v>0.591111111111111</v>
      </c>
      <c r="P25" s="11" t="n">
        <v>18</v>
      </c>
      <c r="Q25" s="11" t="n">
        <f aca="false">M25*P25</f>
        <v>5418</v>
      </c>
      <c r="R25" s="11" t="n">
        <v>1113.1</v>
      </c>
      <c r="S25" s="11" t="n">
        <f aca="false">Q25+R25</f>
        <v>6531.1</v>
      </c>
      <c r="T25" s="11" t="n">
        <v>753.1</v>
      </c>
      <c r="U25" s="11" t="n">
        <f aca="false">S25-T25</f>
        <v>5778</v>
      </c>
      <c r="V25" s="8" t="n">
        <v>47826</v>
      </c>
    </row>
    <row r="26" customFormat="false" ht="15" hidden="false" customHeight="false" outlineLevel="0" collapsed="false">
      <c r="A26" s="8" t="s">
        <v>138</v>
      </c>
      <c r="B26" s="8" t="s">
        <v>139</v>
      </c>
      <c r="C26" s="9" t="n">
        <v>45831</v>
      </c>
      <c r="D26" s="8" t="str">
        <f aca="false">TEXT(C26,"dddd")</f>
        <v>Monday</v>
      </c>
      <c r="E26" s="8" t="str">
        <f aca="false">TEXT(C26,"mmm")</f>
        <v>Jun</v>
      </c>
      <c r="F26" s="8" t="s">
        <v>140</v>
      </c>
      <c r="G26" s="8" t="s">
        <v>40</v>
      </c>
      <c r="H26" s="8" t="s">
        <v>123</v>
      </c>
      <c r="I26" s="8" t="s">
        <v>141</v>
      </c>
      <c r="J26" s="8" t="s">
        <v>120</v>
      </c>
      <c r="K26" s="8" t="s">
        <v>69</v>
      </c>
      <c r="L26" s="8" t="n">
        <v>550</v>
      </c>
      <c r="M26" s="8" t="n">
        <v>508</v>
      </c>
      <c r="N26" s="8" t="n">
        <v>479</v>
      </c>
      <c r="O26" s="10" t="n">
        <f aca="false">N26/L26</f>
        <v>0.870909090909091</v>
      </c>
      <c r="P26" s="11" t="n">
        <v>22</v>
      </c>
      <c r="Q26" s="11" t="n">
        <f aca="false">M26*P26</f>
        <v>11176</v>
      </c>
      <c r="R26" s="11" t="n">
        <v>1503.58</v>
      </c>
      <c r="S26" s="11" t="n">
        <f aca="false">Q26+R26</f>
        <v>12679.58</v>
      </c>
      <c r="T26" s="11" t="n">
        <v>311.96</v>
      </c>
      <c r="U26" s="11" t="n">
        <f aca="false">S26-T26</f>
        <v>12367.62</v>
      </c>
      <c r="V26" s="8" t="n">
        <v>40861</v>
      </c>
    </row>
    <row r="27" customFormat="false" ht="15" hidden="false" customHeight="false" outlineLevel="0" collapsed="false">
      <c r="A27" s="8" t="s">
        <v>142</v>
      </c>
      <c r="B27" s="8" t="s">
        <v>143</v>
      </c>
      <c r="C27" s="9" t="n">
        <v>45838</v>
      </c>
      <c r="D27" s="8" t="str">
        <f aca="false">TEXT(C27,"dddd")</f>
        <v>Monday</v>
      </c>
      <c r="E27" s="8" t="str">
        <f aca="false">TEXT(C27,"mmm")</f>
        <v>Jun</v>
      </c>
      <c r="F27" s="8" t="s">
        <v>140</v>
      </c>
      <c r="G27" s="8" t="s">
        <v>40</v>
      </c>
      <c r="H27" s="8" t="s">
        <v>33</v>
      </c>
      <c r="I27" s="8" t="s">
        <v>144</v>
      </c>
      <c r="J27" s="8" t="s">
        <v>43</v>
      </c>
      <c r="K27" s="8" t="s">
        <v>44</v>
      </c>
      <c r="L27" s="8" t="n">
        <v>450</v>
      </c>
      <c r="M27" s="8" t="n">
        <v>377</v>
      </c>
      <c r="N27" s="8" t="n">
        <v>329</v>
      </c>
      <c r="O27" s="10" t="n">
        <f aca="false">N27/L27</f>
        <v>0.731111111111111</v>
      </c>
      <c r="P27" s="11" t="n">
        <v>30</v>
      </c>
      <c r="Q27" s="11" t="n">
        <f aca="false">M27*P27</f>
        <v>11310</v>
      </c>
      <c r="R27" s="11" t="n">
        <v>1496.27</v>
      </c>
      <c r="S27" s="11" t="n">
        <f aca="false">Q27+R27</f>
        <v>12806.27</v>
      </c>
      <c r="T27" s="11" t="n">
        <v>1644.49</v>
      </c>
      <c r="U27" s="11" t="n">
        <f aca="false">S27-T27</f>
        <v>11161.78</v>
      </c>
      <c r="V27" s="8" t="n">
        <v>38084</v>
      </c>
    </row>
    <row r="28" customFormat="false" ht="15" hidden="false" customHeight="false" outlineLevel="0" collapsed="false">
      <c r="A28" s="8" t="s">
        <v>145</v>
      </c>
      <c r="B28" s="8" t="s">
        <v>146</v>
      </c>
      <c r="C28" s="9" t="n">
        <v>45845</v>
      </c>
      <c r="D28" s="8" t="str">
        <f aca="false">TEXT(C28,"dddd")</f>
        <v>Monday</v>
      </c>
      <c r="E28" s="8" t="str">
        <f aca="false">TEXT(C28,"mmm")</f>
        <v>Jul</v>
      </c>
      <c r="F28" s="8" t="s">
        <v>47</v>
      </c>
      <c r="G28" s="8" t="s">
        <v>40</v>
      </c>
      <c r="H28" s="8" t="s">
        <v>41</v>
      </c>
      <c r="I28" s="8" t="s">
        <v>147</v>
      </c>
      <c r="J28" s="8" t="s">
        <v>50</v>
      </c>
      <c r="K28" s="8" t="s">
        <v>51</v>
      </c>
      <c r="L28" s="8" t="n">
        <v>200</v>
      </c>
      <c r="M28" s="8" t="n">
        <v>163</v>
      </c>
      <c r="N28" s="8" t="n">
        <v>147</v>
      </c>
      <c r="O28" s="10" t="n">
        <f aca="false">N28/L28</f>
        <v>0.735</v>
      </c>
      <c r="P28" s="11" t="n">
        <v>22</v>
      </c>
      <c r="Q28" s="11" t="n">
        <f aca="false">M28*P28</f>
        <v>3586</v>
      </c>
      <c r="R28" s="11" t="n">
        <v>558.64</v>
      </c>
      <c r="S28" s="11" t="n">
        <f aca="false">Q28+R28</f>
        <v>4144.64</v>
      </c>
      <c r="T28" s="11" t="n">
        <v>1469.98</v>
      </c>
      <c r="U28" s="11" t="n">
        <f aca="false">S28-T28</f>
        <v>2674.66</v>
      </c>
      <c r="V28" s="8" t="n">
        <v>57710</v>
      </c>
    </row>
    <row r="29" customFormat="false" ht="15" hidden="false" customHeight="false" outlineLevel="0" collapsed="false">
      <c r="A29" s="8" t="s">
        <v>148</v>
      </c>
      <c r="B29" s="8" t="s">
        <v>149</v>
      </c>
      <c r="C29" s="9" t="n">
        <v>45852</v>
      </c>
      <c r="D29" s="8" t="str">
        <f aca="false">TEXT(C29,"dddd")</f>
        <v>Monday</v>
      </c>
      <c r="E29" s="8" t="str">
        <f aca="false">TEXT(C29,"mmm")</f>
        <v>Jul</v>
      </c>
      <c r="F29" s="8" t="s">
        <v>47</v>
      </c>
      <c r="G29" s="8" t="s">
        <v>32</v>
      </c>
      <c r="H29" s="8" t="s">
        <v>84</v>
      </c>
      <c r="I29" s="8" t="s">
        <v>150</v>
      </c>
      <c r="J29" s="8" t="s">
        <v>151</v>
      </c>
      <c r="K29" s="8" t="s">
        <v>62</v>
      </c>
      <c r="L29" s="8" t="n">
        <v>250</v>
      </c>
      <c r="M29" s="8" t="n">
        <v>210</v>
      </c>
      <c r="N29" s="8" t="n">
        <v>179</v>
      </c>
      <c r="O29" s="10" t="n">
        <f aca="false">N29/L29</f>
        <v>0.716</v>
      </c>
      <c r="P29" s="11" t="n">
        <v>35</v>
      </c>
      <c r="Q29" s="11" t="n">
        <f aca="false">M29*P29</f>
        <v>7350</v>
      </c>
      <c r="R29" s="11" t="n">
        <v>760.88</v>
      </c>
      <c r="S29" s="11" t="n">
        <f aca="false">Q29+R29</f>
        <v>8110.88</v>
      </c>
      <c r="T29" s="11" t="n">
        <v>1429.58</v>
      </c>
      <c r="U29" s="11" t="n">
        <f aca="false">S29-T29</f>
        <v>6681.3</v>
      </c>
      <c r="V29" s="8" t="n">
        <v>28958</v>
      </c>
    </row>
    <row r="30" customFormat="false" ht="15" hidden="false" customHeight="false" outlineLevel="0" collapsed="false">
      <c r="A30" s="8" t="s">
        <v>152</v>
      </c>
      <c r="B30" s="8" t="s">
        <v>153</v>
      </c>
      <c r="C30" s="9" t="n">
        <v>45859</v>
      </c>
      <c r="D30" s="8" t="str">
        <f aca="false">TEXT(C30,"dddd")</f>
        <v>Monday</v>
      </c>
      <c r="E30" s="8" t="str">
        <f aca="false">TEXT(C30,"mmm")</f>
        <v>Jul</v>
      </c>
      <c r="F30" s="8" t="s">
        <v>58</v>
      </c>
      <c r="G30" s="8" t="s">
        <v>32</v>
      </c>
      <c r="H30" s="8" t="s">
        <v>41</v>
      </c>
      <c r="I30" s="8" t="s">
        <v>154</v>
      </c>
      <c r="J30" s="8" t="s">
        <v>97</v>
      </c>
      <c r="K30" s="8" t="s">
        <v>98</v>
      </c>
      <c r="L30" s="8" t="n">
        <v>850</v>
      </c>
      <c r="M30" s="8" t="n">
        <v>714</v>
      </c>
      <c r="N30" s="8" t="n">
        <v>681</v>
      </c>
      <c r="O30" s="10" t="n">
        <f aca="false">N30/L30</f>
        <v>0.801176470588235</v>
      </c>
      <c r="P30" s="11" t="n">
        <v>40</v>
      </c>
      <c r="Q30" s="11" t="n">
        <f aca="false">M30*P30</f>
        <v>28560</v>
      </c>
      <c r="R30" s="11" t="n">
        <v>2445.11</v>
      </c>
      <c r="S30" s="11" t="n">
        <f aca="false">Q30+R30</f>
        <v>31005.11</v>
      </c>
      <c r="T30" s="11" t="n">
        <v>1091.85</v>
      </c>
      <c r="U30" s="11" t="n">
        <f aca="false">S30-T30</f>
        <v>29913.26</v>
      </c>
      <c r="V30" s="8" t="n">
        <v>55295</v>
      </c>
    </row>
    <row r="31" customFormat="false" ht="15" hidden="false" customHeight="false" outlineLevel="0" collapsed="false">
      <c r="A31" s="8" t="s">
        <v>155</v>
      </c>
      <c r="B31" s="8" t="s">
        <v>156</v>
      </c>
      <c r="C31" s="9" t="n">
        <v>45864</v>
      </c>
      <c r="D31" s="8" t="str">
        <f aca="false">TEXT(C31,"dddd")</f>
        <v>Saturday</v>
      </c>
      <c r="E31" s="8" t="str">
        <f aca="false">TEXT(C31,"mmm")</f>
        <v>Jul</v>
      </c>
      <c r="F31" s="8" t="s">
        <v>140</v>
      </c>
      <c r="G31" s="8" t="s">
        <v>88</v>
      </c>
      <c r="H31" s="8" t="s">
        <v>72</v>
      </c>
      <c r="I31" s="8" t="s">
        <v>157</v>
      </c>
      <c r="J31" s="8" t="s">
        <v>43</v>
      </c>
      <c r="K31" s="8" t="s">
        <v>44</v>
      </c>
      <c r="L31" s="8" t="n">
        <v>450</v>
      </c>
      <c r="M31" s="8" t="n">
        <v>429</v>
      </c>
      <c r="N31" s="8" t="n">
        <v>414</v>
      </c>
      <c r="O31" s="10" t="n">
        <f aca="false">N31/L31</f>
        <v>0.92</v>
      </c>
      <c r="P31" s="11" t="n">
        <v>35</v>
      </c>
      <c r="Q31" s="11" t="n">
        <f aca="false">M31*P31</f>
        <v>15015</v>
      </c>
      <c r="R31" s="11" t="n">
        <v>1459.48</v>
      </c>
      <c r="S31" s="11" t="n">
        <f aca="false">Q31+R31</f>
        <v>16474.48</v>
      </c>
      <c r="T31" s="11" t="n">
        <v>1402.84</v>
      </c>
      <c r="U31" s="11" t="n">
        <f aca="false">S31-T31</f>
        <v>15071.64</v>
      </c>
      <c r="V31" s="8" t="n">
        <v>50872</v>
      </c>
    </row>
    <row r="32" customFormat="false" ht="15" hidden="false" customHeight="false" outlineLevel="0" collapsed="false">
      <c r="A32" s="8" t="s">
        <v>158</v>
      </c>
      <c r="B32" s="8" t="s">
        <v>159</v>
      </c>
      <c r="C32" s="9" t="n">
        <v>45871</v>
      </c>
      <c r="D32" s="8" t="str">
        <f aca="false">TEXT(C32,"dddd")</f>
        <v>Saturday</v>
      </c>
      <c r="E32" s="8" t="str">
        <f aca="false">TEXT(C32,"mmm")</f>
        <v>Aug</v>
      </c>
      <c r="F32" s="8" t="s">
        <v>140</v>
      </c>
      <c r="G32" s="8" t="s">
        <v>32</v>
      </c>
      <c r="H32" s="8" t="s">
        <v>33</v>
      </c>
      <c r="I32" s="8" t="s">
        <v>160</v>
      </c>
      <c r="J32" s="8" t="s">
        <v>161</v>
      </c>
      <c r="K32" s="8" t="s">
        <v>98</v>
      </c>
      <c r="L32" s="8" t="n">
        <v>500</v>
      </c>
      <c r="M32" s="8" t="n">
        <v>323</v>
      </c>
      <c r="N32" s="8" t="n">
        <v>280</v>
      </c>
      <c r="O32" s="10" t="n">
        <f aca="false">N32/L32</f>
        <v>0.56</v>
      </c>
      <c r="P32" s="11" t="n">
        <v>22</v>
      </c>
      <c r="Q32" s="11" t="n">
        <f aca="false">M32*P32</f>
        <v>7106</v>
      </c>
      <c r="R32" s="11" t="n">
        <v>902.62</v>
      </c>
      <c r="S32" s="11" t="n">
        <f aca="false">Q32+R32</f>
        <v>8008.62</v>
      </c>
      <c r="T32" s="11" t="n">
        <v>444.49</v>
      </c>
      <c r="U32" s="11" t="n">
        <f aca="false">S32-T32</f>
        <v>7564.13</v>
      </c>
      <c r="V32" s="8" t="n">
        <v>15195</v>
      </c>
    </row>
    <row r="33" customFormat="false" ht="15" hidden="false" customHeight="false" outlineLevel="0" collapsed="false">
      <c r="A33" s="8" t="s">
        <v>162</v>
      </c>
      <c r="B33" s="8" t="s">
        <v>163</v>
      </c>
      <c r="C33" s="9" t="n">
        <v>45877</v>
      </c>
      <c r="D33" s="8" t="str">
        <f aca="false">TEXT(C33,"dddd")</f>
        <v>Friday</v>
      </c>
      <c r="E33" s="8" t="str">
        <f aca="false">TEXT(C33,"mmm")</f>
        <v>Aug</v>
      </c>
      <c r="F33" s="8" t="s">
        <v>140</v>
      </c>
      <c r="G33" s="8" t="s">
        <v>40</v>
      </c>
      <c r="H33" s="8" t="s">
        <v>41</v>
      </c>
      <c r="I33" s="8" t="s">
        <v>164</v>
      </c>
      <c r="J33" s="8" t="s">
        <v>161</v>
      </c>
      <c r="K33" s="8" t="s">
        <v>98</v>
      </c>
      <c r="L33" s="8" t="n">
        <v>500</v>
      </c>
      <c r="M33" s="8" t="n">
        <v>418</v>
      </c>
      <c r="N33" s="8" t="n">
        <v>403</v>
      </c>
      <c r="O33" s="10" t="n">
        <f aca="false">N33/L33</f>
        <v>0.806</v>
      </c>
      <c r="P33" s="11" t="n">
        <v>30</v>
      </c>
      <c r="Q33" s="11" t="n">
        <f aca="false">M33*P33</f>
        <v>12540</v>
      </c>
      <c r="R33" s="11" t="n">
        <v>1469.5</v>
      </c>
      <c r="S33" s="11" t="n">
        <f aca="false">Q33+R33</f>
        <v>14009.5</v>
      </c>
      <c r="T33" s="11" t="n">
        <v>1708.39</v>
      </c>
      <c r="U33" s="11" t="n">
        <f aca="false">S33-T33</f>
        <v>12301.11</v>
      </c>
      <c r="V33" s="8" t="n">
        <v>20020</v>
      </c>
    </row>
    <row r="34" customFormat="false" ht="15" hidden="false" customHeight="false" outlineLevel="0" collapsed="false">
      <c r="A34" s="8" t="s">
        <v>165</v>
      </c>
      <c r="B34" s="8" t="s">
        <v>166</v>
      </c>
      <c r="C34" s="9" t="n">
        <v>45884</v>
      </c>
      <c r="D34" s="8" t="str">
        <f aca="false">TEXT(C34,"dddd")</f>
        <v>Friday</v>
      </c>
      <c r="E34" s="8" t="str">
        <f aca="false">TEXT(C34,"mmm")</f>
        <v>Aug</v>
      </c>
      <c r="F34" s="8" t="s">
        <v>47</v>
      </c>
      <c r="G34" s="8" t="s">
        <v>32</v>
      </c>
      <c r="H34" s="8" t="s">
        <v>72</v>
      </c>
      <c r="I34" s="8" t="s">
        <v>167</v>
      </c>
      <c r="J34" s="8" t="s">
        <v>61</v>
      </c>
      <c r="K34" s="8" t="s">
        <v>62</v>
      </c>
      <c r="L34" s="8" t="n">
        <v>700</v>
      </c>
      <c r="M34" s="8" t="n">
        <v>489</v>
      </c>
      <c r="N34" s="8" t="n">
        <v>458</v>
      </c>
      <c r="O34" s="10" t="n">
        <f aca="false">N34/L34</f>
        <v>0.654285714285714</v>
      </c>
      <c r="P34" s="11" t="n">
        <v>30</v>
      </c>
      <c r="Q34" s="11" t="n">
        <f aca="false">M34*P34</f>
        <v>14670</v>
      </c>
      <c r="R34" s="11" t="n">
        <v>2179.54</v>
      </c>
      <c r="S34" s="11" t="n">
        <f aca="false">Q34+R34</f>
        <v>16849.54</v>
      </c>
      <c r="T34" s="11" t="n">
        <v>1544.81</v>
      </c>
      <c r="U34" s="11" t="n">
        <f aca="false">S34-T34</f>
        <v>15304.73</v>
      </c>
      <c r="V34" s="8" t="n">
        <v>55413</v>
      </c>
    </row>
    <row r="35" customFormat="false" ht="15" hidden="false" customHeight="false" outlineLevel="0" collapsed="false">
      <c r="A35" s="8" t="s">
        <v>168</v>
      </c>
      <c r="B35" s="8" t="s">
        <v>169</v>
      </c>
      <c r="C35" s="9" t="n">
        <v>45891</v>
      </c>
      <c r="D35" s="8" t="str">
        <f aca="false">TEXT(C35,"dddd")</f>
        <v>Friday</v>
      </c>
      <c r="E35" s="8" t="str">
        <f aca="false">TEXT(C35,"mmm")</f>
        <v>Aug</v>
      </c>
      <c r="F35" s="8" t="s">
        <v>140</v>
      </c>
      <c r="G35" s="8" t="s">
        <v>40</v>
      </c>
      <c r="H35" s="8" t="s">
        <v>84</v>
      </c>
      <c r="I35" s="8" t="s">
        <v>170</v>
      </c>
      <c r="J35" s="8" t="s">
        <v>55</v>
      </c>
      <c r="K35" s="8" t="s">
        <v>44</v>
      </c>
      <c r="L35" s="8" t="n">
        <v>1000</v>
      </c>
      <c r="M35" s="8" t="n">
        <v>576</v>
      </c>
      <c r="N35" s="8" t="n">
        <v>514</v>
      </c>
      <c r="O35" s="10" t="n">
        <f aca="false">N35/L35</f>
        <v>0.514</v>
      </c>
      <c r="P35" s="11" t="n">
        <v>35</v>
      </c>
      <c r="Q35" s="11" t="n">
        <f aca="false">M35*P35</f>
        <v>20160</v>
      </c>
      <c r="R35" s="11" t="n">
        <v>1526.99</v>
      </c>
      <c r="S35" s="11" t="n">
        <f aca="false">Q35+R35</f>
        <v>21686.99</v>
      </c>
      <c r="T35" s="11" t="n">
        <v>1417.97</v>
      </c>
      <c r="U35" s="11" t="n">
        <f aca="false">S35-T35</f>
        <v>20269.02</v>
      </c>
      <c r="V35" s="8" t="n">
        <v>24610</v>
      </c>
    </row>
    <row r="36" customFormat="false" ht="15" hidden="false" customHeight="false" outlineLevel="0" collapsed="false">
      <c r="A36" s="8" t="s">
        <v>171</v>
      </c>
      <c r="B36" s="8" t="s">
        <v>172</v>
      </c>
      <c r="C36" s="9" t="n">
        <v>45899</v>
      </c>
      <c r="D36" s="8" t="str">
        <f aca="false">TEXT(C36,"dddd")</f>
        <v>Saturday</v>
      </c>
      <c r="E36" s="8" t="str">
        <f aca="false">TEXT(C36,"mmm")</f>
        <v>Aug</v>
      </c>
      <c r="F36" s="8" t="s">
        <v>58</v>
      </c>
      <c r="G36" s="8" t="s">
        <v>80</v>
      </c>
      <c r="H36" s="8" t="s">
        <v>123</v>
      </c>
      <c r="I36" s="8" t="s">
        <v>173</v>
      </c>
      <c r="J36" s="8" t="s">
        <v>35</v>
      </c>
      <c r="K36" s="8" t="s">
        <v>36</v>
      </c>
      <c r="L36" s="8" t="n">
        <v>700</v>
      </c>
      <c r="M36" s="8" t="n">
        <v>582</v>
      </c>
      <c r="N36" s="8" t="n">
        <v>551</v>
      </c>
      <c r="O36" s="10" t="n">
        <f aca="false">N36/L36</f>
        <v>0.787142857142857</v>
      </c>
      <c r="P36" s="11" t="n">
        <v>22</v>
      </c>
      <c r="Q36" s="11" t="n">
        <f aca="false">M36*P36</f>
        <v>12804</v>
      </c>
      <c r="R36" s="11" t="n">
        <v>1320.81</v>
      </c>
      <c r="S36" s="11" t="n">
        <f aca="false">Q36+R36</f>
        <v>14124.81</v>
      </c>
      <c r="T36" s="11" t="n">
        <v>232.61</v>
      </c>
      <c r="U36" s="11" t="n">
        <f aca="false">S36-T36</f>
        <v>13892.2</v>
      </c>
      <c r="V36" s="8" t="n">
        <v>11685</v>
      </c>
    </row>
    <row r="37" customFormat="false" ht="15" hidden="false" customHeight="false" outlineLevel="0" collapsed="false">
      <c r="A37" s="8" t="s">
        <v>174</v>
      </c>
      <c r="B37" s="8" t="s">
        <v>175</v>
      </c>
      <c r="C37" s="9" t="n">
        <v>45906</v>
      </c>
      <c r="D37" s="8" t="str">
        <f aca="false">TEXT(C37,"dddd")</f>
        <v>Saturday</v>
      </c>
      <c r="E37" s="8" t="str">
        <f aca="false">TEXT(C37,"mmm")</f>
        <v>Sep</v>
      </c>
      <c r="F37" s="8" t="s">
        <v>140</v>
      </c>
      <c r="G37" s="8" t="s">
        <v>80</v>
      </c>
      <c r="H37" s="8" t="s">
        <v>33</v>
      </c>
      <c r="I37" s="8" t="s">
        <v>176</v>
      </c>
      <c r="J37" s="8" t="s">
        <v>120</v>
      </c>
      <c r="K37" s="8" t="s">
        <v>69</v>
      </c>
      <c r="L37" s="8" t="n">
        <v>550</v>
      </c>
      <c r="M37" s="8" t="n">
        <v>425</v>
      </c>
      <c r="N37" s="8" t="n">
        <v>367</v>
      </c>
      <c r="O37" s="10" t="n">
        <f aca="false">N37/L37</f>
        <v>0.667272727272727</v>
      </c>
      <c r="P37" s="11" t="n">
        <v>20</v>
      </c>
      <c r="Q37" s="11" t="n">
        <f aca="false">M37*P37</f>
        <v>8500</v>
      </c>
      <c r="R37" s="11" t="n">
        <v>2143.74</v>
      </c>
      <c r="S37" s="11" t="n">
        <f aca="false">Q37+R37</f>
        <v>10643.74</v>
      </c>
      <c r="T37" s="11" t="n">
        <v>372.96</v>
      </c>
      <c r="U37" s="11" t="n">
        <f aca="false">S37-T37</f>
        <v>10270.78</v>
      </c>
      <c r="V37" s="8" t="n">
        <v>4463</v>
      </c>
    </row>
    <row r="38" customFormat="false" ht="15" hidden="false" customHeight="false" outlineLevel="0" collapsed="false">
      <c r="A38" s="8" t="s">
        <v>177</v>
      </c>
      <c r="B38" s="8" t="s">
        <v>178</v>
      </c>
      <c r="C38" s="9" t="n">
        <v>45913</v>
      </c>
      <c r="D38" s="8" t="str">
        <f aca="false">TEXT(C38,"dddd")</f>
        <v>Saturday</v>
      </c>
      <c r="E38" s="8" t="str">
        <f aca="false">TEXT(C38,"mmm")</f>
        <v>Sep</v>
      </c>
      <c r="F38" s="8" t="s">
        <v>65</v>
      </c>
      <c r="G38" s="8" t="s">
        <v>48</v>
      </c>
      <c r="H38" s="8" t="s">
        <v>41</v>
      </c>
      <c r="I38" s="8" t="s">
        <v>179</v>
      </c>
      <c r="J38" s="8" t="s">
        <v>74</v>
      </c>
      <c r="K38" s="8" t="s">
        <v>69</v>
      </c>
      <c r="L38" s="8" t="n">
        <v>2800</v>
      </c>
      <c r="M38" s="8" t="n">
        <v>2392</v>
      </c>
      <c r="N38" s="8" t="n">
        <v>2209</v>
      </c>
      <c r="O38" s="10" t="n">
        <f aca="false">N38/L38</f>
        <v>0.788928571428571</v>
      </c>
      <c r="P38" s="11" t="n">
        <v>15</v>
      </c>
      <c r="Q38" s="11" t="n">
        <f aca="false">M38*P38</f>
        <v>35880</v>
      </c>
      <c r="R38" s="11" t="n">
        <v>6764.88</v>
      </c>
      <c r="S38" s="11" t="n">
        <f aca="false">Q38+R38</f>
        <v>42644.88</v>
      </c>
      <c r="T38" s="11" t="n">
        <v>885.4</v>
      </c>
      <c r="U38" s="11" t="n">
        <f aca="false">S38-T38</f>
        <v>41759.48</v>
      </c>
      <c r="V38" s="8" t="n">
        <v>24122</v>
      </c>
    </row>
    <row r="39" customFormat="false" ht="15" hidden="false" customHeight="false" outlineLevel="0" collapsed="false">
      <c r="A39" s="8" t="s">
        <v>180</v>
      </c>
      <c r="B39" s="8" t="s">
        <v>181</v>
      </c>
      <c r="C39" s="9" t="n">
        <v>45917</v>
      </c>
      <c r="D39" s="8" t="str">
        <f aca="false">TEXT(C39,"dddd")</f>
        <v>Wednesday</v>
      </c>
      <c r="E39" s="8" t="str">
        <f aca="false">TEXT(C39,"mmm")</f>
        <v>Sep</v>
      </c>
      <c r="F39" s="8" t="s">
        <v>140</v>
      </c>
      <c r="G39" s="8" t="s">
        <v>80</v>
      </c>
      <c r="H39" s="8" t="s">
        <v>104</v>
      </c>
      <c r="I39" s="8" t="s">
        <v>182</v>
      </c>
      <c r="J39" s="8" t="s">
        <v>161</v>
      </c>
      <c r="K39" s="8" t="s">
        <v>98</v>
      </c>
      <c r="L39" s="8" t="n">
        <v>500</v>
      </c>
      <c r="M39" s="8" t="n">
        <v>352</v>
      </c>
      <c r="N39" s="8" t="n">
        <v>343</v>
      </c>
      <c r="O39" s="10" t="n">
        <f aca="false">N39/L39</f>
        <v>0.686</v>
      </c>
      <c r="P39" s="11" t="n">
        <v>25</v>
      </c>
      <c r="Q39" s="11" t="n">
        <f aca="false">M39*P39</f>
        <v>8800</v>
      </c>
      <c r="R39" s="11" t="n">
        <v>1465.16</v>
      </c>
      <c r="S39" s="11" t="n">
        <f aca="false">Q39+R39</f>
        <v>10265.16</v>
      </c>
      <c r="T39" s="11" t="n">
        <v>1671.39</v>
      </c>
      <c r="U39" s="11" t="n">
        <f aca="false">S39-T39</f>
        <v>8593.77</v>
      </c>
      <c r="V39" s="8" t="n">
        <v>47154</v>
      </c>
    </row>
    <row r="40" customFormat="false" ht="15" hidden="false" customHeight="false" outlineLevel="0" collapsed="false">
      <c r="A40" s="8" t="s">
        <v>183</v>
      </c>
      <c r="B40" s="8" t="s">
        <v>184</v>
      </c>
      <c r="C40" s="9" t="n">
        <v>45925</v>
      </c>
      <c r="D40" s="8" t="str">
        <f aca="false">TEXT(C40,"dddd")</f>
        <v>Thursday</v>
      </c>
      <c r="E40" s="8" t="str">
        <f aca="false">TEXT(C40,"mmm")</f>
        <v>Sep</v>
      </c>
      <c r="F40" s="8" t="s">
        <v>39</v>
      </c>
      <c r="G40" s="8" t="s">
        <v>48</v>
      </c>
      <c r="H40" s="8" t="s">
        <v>41</v>
      </c>
      <c r="I40" s="8" t="s">
        <v>185</v>
      </c>
      <c r="J40" s="8" t="s">
        <v>50</v>
      </c>
      <c r="K40" s="8" t="s">
        <v>51</v>
      </c>
      <c r="L40" s="8" t="n">
        <v>200</v>
      </c>
      <c r="M40" s="8" t="n">
        <v>122</v>
      </c>
      <c r="N40" s="8" t="n">
        <v>113</v>
      </c>
      <c r="O40" s="10" t="n">
        <f aca="false">N40/L40</f>
        <v>0.565</v>
      </c>
      <c r="P40" s="11" t="n">
        <v>30</v>
      </c>
      <c r="Q40" s="11" t="n">
        <f aca="false">M40*P40</f>
        <v>3660</v>
      </c>
      <c r="R40" s="11" t="n">
        <v>340.56</v>
      </c>
      <c r="S40" s="11" t="n">
        <f aca="false">Q40+R40</f>
        <v>4000.56</v>
      </c>
      <c r="T40" s="11" t="n">
        <v>990.89</v>
      </c>
      <c r="U40" s="11" t="n">
        <f aca="false">S40-T40</f>
        <v>3009.67</v>
      </c>
      <c r="V40" s="8" t="n">
        <v>21525</v>
      </c>
    </row>
    <row r="41" customFormat="false" ht="15" hidden="false" customHeight="false" outlineLevel="0" collapsed="false">
      <c r="A41" s="8" t="s">
        <v>186</v>
      </c>
      <c r="B41" s="8" t="s">
        <v>187</v>
      </c>
      <c r="C41" s="9" t="n">
        <v>45931</v>
      </c>
      <c r="D41" s="8" t="str">
        <f aca="false">TEXT(C41,"dddd")</f>
        <v>Wednesday</v>
      </c>
      <c r="E41" s="8" t="str">
        <f aca="false">TEXT(C41,"mmm")</f>
        <v>Oct</v>
      </c>
      <c r="F41" s="8" t="s">
        <v>65</v>
      </c>
      <c r="G41" s="8" t="s">
        <v>88</v>
      </c>
      <c r="H41" s="8" t="s">
        <v>33</v>
      </c>
      <c r="I41" s="8" t="s">
        <v>141</v>
      </c>
      <c r="J41" s="8" t="s">
        <v>50</v>
      </c>
      <c r="K41" s="8" t="s">
        <v>51</v>
      </c>
      <c r="L41" s="8" t="n">
        <v>200</v>
      </c>
      <c r="M41" s="8" t="n">
        <v>181</v>
      </c>
      <c r="N41" s="8" t="n">
        <v>170</v>
      </c>
      <c r="O41" s="10" t="n">
        <f aca="false">N41/L41</f>
        <v>0.85</v>
      </c>
      <c r="P41" s="11" t="n">
        <v>35</v>
      </c>
      <c r="Q41" s="11" t="n">
        <f aca="false">M41*P41</f>
        <v>6335</v>
      </c>
      <c r="R41" s="11" t="n">
        <v>679.71</v>
      </c>
      <c r="S41" s="11" t="n">
        <f aca="false">Q41+R41</f>
        <v>7014.71</v>
      </c>
      <c r="T41" s="11" t="n">
        <v>584.52</v>
      </c>
      <c r="U41" s="11" t="n">
        <f aca="false">S41-T41</f>
        <v>6430.19</v>
      </c>
      <c r="V41" s="8" t="n">
        <v>30137</v>
      </c>
    </row>
    <row r="42" customFormat="false" ht="15" hidden="false" customHeight="false" outlineLevel="0" collapsed="false">
      <c r="A42" s="8" t="s">
        <v>188</v>
      </c>
      <c r="B42" s="8" t="s">
        <v>189</v>
      </c>
      <c r="C42" s="9" t="n">
        <v>45938</v>
      </c>
      <c r="D42" s="8" t="str">
        <f aca="false">TEXT(C42,"dddd")</f>
        <v>Wednesday</v>
      </c>
      <c r="E42" s="8" t="str">
        <f aca="false">TEXT(C42,"mmm")</f>
        <v>Oct</v>
      </c>
      <c r="F42" s="8" t="s">
        <v>65</v>
      </c>
      <c r="G42" s="8" t="s">
        <v>40</v>
      </c>
      <c r="H42" s="8" t="s">
        <v>41</v>
      </c>
      <c r="I42" s="8" t="s">
        <v>190</v>
      </c>
      <c r="J42" s="8" t="s">
        <v>93</v>
      </c>
      <c r="K42" s="8" t="s">
        <v>36</v>
      </c>
      <c r="L42" s="8" t="n">
        <v>470</v>
      </c>
      <c r="M42" s="8" t="n">
        <v>359</v>
      </c>
      <c r="N42" s="8" t="n">
        <v>330</v>
      </c>
      <c r="O42" s="10" t="n">
        <f aca="false">N42/L42</f>
        <v>0.702127659574468</v>
      </c>
      <c r="P42" s="11" t="n">
        <v>28</v>
      </c>
      <c r="Q42" s="11" t="n">
        <f aca="false">M42*P42</f>
        <v>10052</v>
      </c>
      <c r="R42" s="11" t="n">
        <v>1126.87</v>
      </c>
      <c r="S42" s="11" t="n">
        <f aca="false">Q42+R42</f>
        <v>11178.87</v>
      </c>
      <c r="T42" s="11" t="n">
        <v>1393.5</v>
      </c>
      <c r="U42" s="11" t="n">
        <f aca="false">S42-T42</f>
        <v>9785.37</v>
      </c>
      <c r="V42" s="8" t="n">
        <v>21855</v>
      </c>
    </row>
    <row r="43" customFormat="false" ht="15" hidden="false" customHeight="false" outlineLevel="0" collapsed="false">
      <c r="A43" s="8" t="s">
        <v>191</v>
      </c>
      <c r="B43" s="8" t="s">
        <v>192</v>
      </c>
      <c r="C43" s="9" t="n">
        <v>45944</v>
      </c>
      <c r="D43" s="8" t="str">
        <f aca="false">TEXT(C43,"dddd")</f>
        <v>Tuesday</v>
      </c>
      <c r="E43" s="8" t="str">
        <f aca="false">TEXT(C43,"mmm")</f>
        <v>Oct</v>
      </c>
      <c r="F43" s="8" t="s">
        <v>65</v>
      </c>
      <c r="G43" s="8" t="s">
        <v>80</v>
      </c>
      <c r="H43" s="8" t="s">
        <v>41</v>
      </c>
      <c r="I43" s="8" t="s">
        <v>193</v>
      </c>
      <c r="J43" s="8" t="s">
        <v>74</v>
      </c>
      <c r="K43" s="8" t="s">
        <v>69</v>
      </c>
      <c r="L43" s="8" t="n">
        <v>2800</v>
      </c>
      <c r="M43" s="8" t="n">
        <v>2524</v>
      </c>
      <c r="N43" s="8" t="n">
        <v>2208</v>
      </c>
      <c r="O43" s="10" t="n">
        <f aca="false">N43/L43</f>
        <v>0.788571428571429</v>
      </c>
      <c r="P43" s="11" t="n">
        <v>35</v>
      </c>
      <c r="Q43" s="11" t="n">
        <f aca="false">M43*P43</f>
        <v>88340</v>
      </c>
      <c r="R43" s="11" t="n">
        <v>6059.3</v>
      </c>
      <c r="S43" s="11" t="n">
        <f aca="false">Q43+R43</f>
        <v>94399.3</v>
      </c>
      <c r="T43" s="11" t="n">
        <v>1143.34</v>
      </c>
      <c r="U43" s="11" t="n">
        <f aca="false">S43-T43</f>
        <v>93255.96</v>
      </c>
      <c r="V43" s="8" t="n">
        <v>46331</v>
      </c>
    </row>
    <row r="44" customFormat="false" ht="15" hidden="false" customHeight="false" outlineLevel="0" collapsed="false">
      <c r="A44" s="8" t="s">
        <v>194</v>
      </c>
      <c r="B44" s="8" t="s">
        <v>195</v>
      </c>
      <c r="C44" s="9" t="n">
        <v>45948</v>
      </c>
      <c r="D44" s="8" t="str">
        <f aca="false">TEXT(C44,"dddd")</f>
        <v>Saturday</v>
      </c>
      <c r="E44" s="8" t="str">
        <f aca="false">TEXT(C44,"mmm")</f>
        <v>Oct</v>
      </c>
      <c r="F44" s="8" t="s">
        <v>39</v>
      </c>
      <c r="G44" s="8" t="s">
        <v>32</v>
      </c>
      <c r="H44" s="8" t="s">
        <v>66</v>
      </c>
      <c r="I44" s="8" t="s">
        <v>196</v>
      </c>
      <c r="J44" s="8" t="s">
        <v>116</v>
      </c>
      <c r="K44" s="8" t="s">
        <v>51</v>
      </c>
      <c r="L44" s="8" t="n">
        <v>1400</v>
      </c>
      <c r="M44" s="8" t="n">
        <v>1064</v>
      </c>
      <c r="N44" s="8" t="n">
        <v>910</v>
      </c>
      <c r="O44" s="10" t="n">
        <f aca="false">N44/L44</f>
        <v>0.65</v>
      </c>
      <c r="P44" s="11" t="n">
        <v>15</v>
      </c>
      <c r="Q44" s="11" t="n">
        <f aca="false">M44*P44</f>
        <v>15960</v>
      </c>
      <c r="R44" s="11" t="n">
        <v>3631</v>
      </c>
      <c r="S44" s="11" t="n">
        <f aca="false">Q44+R44</f>
        <v>19591</v>
      </c>
      <c r="T44" s="11" t="n">
        <v>1315.87</v>
      </c>
      <c r="U44" s="11" t="n">
        <f aca="false">S44-T44</f>
        <v>18275.13</v>
      </c>
      <c r="V44" s="8" t="n">
        <v>10197</v>
      </c>
    </row>
    <row r="45" customFormat="false" ht="15" hidden="false" customHeight="false" outlineLevel="0" collapsed="false">
      <c r="A45" s="8" t="s">
        <v>197</v>
      </c>
      <c r="B45" s="8" t="s">
        <v>198</v>
      </c>
      <c r="C45" s="9" t="n">
        <v>45970</v>
      </c>
      <c r="D45" s="8" t="str">
        <f aca="false">TEXT(C45,"dddd")</f>
        <v>Sunday</v>
      </c>
      <c r="E45" s="8" t="str">
        <f aca="false">TEXT(C45,"mmm")</f>
        <v>Nov</v>
      </c>
      <c r="F45" s="8" t="s">
        <v>31</v>
      </c>
      <c r="G45" s="8" t="s">
        <v>32</v>
      </c>
      <c r="H45" s="8" t="s">
        <v>66</v>
      </c>
      <c r="I45" s="8" t="s">
        <v>199</v>
      </c>
      <c r="J45" s="8" t="s">
        <v>97</v>
      </c>
      <c r="K45" s="8" t="s">
        <v>98</v>
      </c>
      <c r="L45" s="8" t="n">
        <v>850</v>
      </c>
      <c r="M45" s="8" t="n">
        <v>746</v>
      </c>
      <c r="N45" s="8" t="n">
        <v>713</v>
      </c>
      <c r="O45" s="10" t="n">
        <f aca="false">N45/L45</f>
        <v>0.838823529411765</v>
      </c>
      <c r="P45" s="11" t="n">
        <v>30</v>
      </c>
      <c r="Q45" s="11" t="n">
        <f aca="false">M45*P45</f>
        <v>22380</v>
      </c>
      <c r="R45" s="11" t="n">
        <v>2647.27</v>
      </c>
      <c r="S45" s="11" t="n">
        <f aca="false">Q45+R45</f>
        <v>25027.27</v>
      </c>
      <c r="T45" s="11" t="n">
        <v>1123.23</v>
      </c>
      <c r="U45" s="11" t="n">
        <f aca="false">S45-T45</f>
        <v>23904.04</v>
      </c>
      <c r="V45" s="8" t="n">
        <v>42127</v>
      </c>
    </row>
    <row r="46" customFormat="false" ht="15" hidden="false" customHeight="false" outlineLevel="0" collapsed="false">
      <c r="A46" s="8" t="s">
        <v>200</v>
      </c>
      <c r="B46" s="8" t="s">
        <v>201</v>
      </c>
      <c r="C46" s="9" t="n">
        <v>45978</v>
      </c>
      <c r="D46" s="8" t="str">
        <f aca="false">TEXT(C46,"dddd")</f>
        <v>Monday</v>
      </c>
      <c r="E46" s="8" t="str">
        <f aca="false">TEXT(C46,"mmm")</f>
        <v>Nov</v>
      </c>
      <c r="F46" s="8" t="s">
        <v>65</v>
      </c>
      <c r="G46" s="8" t="s">
        <v>48</v>
      </c>
      <c r="H46" s="8" t="s">
        <v>41</v>
      </c>
      <c r="I46" s="8" t="s">
        <v>202</v>
      </c>
      <c r="J46" s="8" t="s">
        <v>116</v>
      </c>
      <c r="K46" s="8" t="s">
        <v>51</v>
      </c>
      <c r="L46" s="8" t="n">
        <v>1400</v>
      </c>
      <c r="M46" s="8" t="n">
        <v>1086</v>
      </c>
      <c r="N46" s="8" t="n">
        <v>954</v>
      </c>
      <c r="O46" s="10" t="n">
        <f aca="false">N46/L46</f>
        <v>0.681428571428571</v>
      </c>
      <c r="P46" s="11" t="n">
        <v>40</v>
      </c>
      <c r="Q46" s="11" t="n">
        <f aca="false">M46*P46</f>
        <v>43440</v>
      </c>
      <c r="R46" s="11" t="n">
        <v>3063.96</v>
      </c>
      <c r="S46" s="11" t="n">
        <f aca="false">Q46+R46</f>
        <v>46503.96</v>
      </c>
      <c r="T46" s="11" t="n">
        <v>1653.61</v>
      </c>
      <c r="U46" s="11" t="n">
        <f aca="false">S46-T46</f>
        <v>44850.35</v>
      </c>
      <c r="V46" s="8" t="n">
        <v>19949</v>
      </c>
    </row>
    <row r="47" customFormat="false" ht="15" hidden="false" customHeight="false" outlineLevel="0" collapsed="false">
      <c r="A47" s="8" t="s">
        <v>203</v>
      </c>
      <c r="B47" s="8" t="s">
        <v>204</v>
      </c>
      <c r="C47" s="9" t="n">
        <v>45984</v>
      </c>
      <c r="D47" s="8" t="str">
        <f aca="false">TEXT(C47,"dddd")</f>
        <v>Sunday</v>
      </c>
      <c r="E47" s="8" t="str">
        <f aca="false">TEXT(C47,"mmm")</f>
        <v>Nov</v>
      </c>
      <c r="F47" s="8" t="s">
        <v>140</v>
      </c>
      <c r="G47" s="8" t="s">
        <v>32</v>
      </c>
      <c r="H47" s="8" t="s">
        <v>84</v>
      </c>
      <c r="I47" s="8" t="s">
        <v>205</v>
      </c>
      <c r="J47" s="8" t="s">
        <v>35</v>
      </c>
      <c r="K47" s="8" t="s">
        <v>36</v>
      </c>
      <c r="L47" s="8" t="n">
        <v>700</v>
      </c>
      <c r="M47" s="8" t="n">
        <v>521</v>
      </c>
      <c r="N47" s="8" t="n">
        <v>454</v>
      </c>
      <c r="O47" s="10" t="n">
        <f aca="false">N47/L47</f>
        <v>0.648571428571429</v>
      </c>
      <c r="P47" s="11" t="n">
        <v>18</v>
      </c>
      <c r="Q47" s="11" t="n">
        <f aca="false">M47*P47</f>
        <v>9378</v>
      </c>
      <c r="R47" s="11" t="n">
        <v>1000.8</v>
      </c>
      <c r="S47" s="11" t="n">
        <f aca="false">Q47+R47</f>
        <v>10378.8</v>
      </c>
      <c r="T47" s="11" t="n">
        <v>853.63</v>
      </c>
      <c r="U47" s="11" t="n">
        <f aca="false">S47-T47</f>
        <v>9525.17</v>
      </c>
      <c r="V47" s="8" t="n">
        <v>42294</v>
      </c>
    </row>
    <row r="48" customFormat="false" ht="15" hidden="false" customHeight="false" outlineLevel="0" collapsed="false">
      <c r="A48" s="8" t="s">
        <v>206</v>
      </c>
      <c r="B48" s="8" t="s">
        <v>207</v>
      </c>
      <c r="C48" s="9" t="n">
        <v>45988</v>
      </c>
      <c r="D48" s="8" t="str">
        <f aca="false">TEXT(C48,"dddd")</f>
        <v>Thursday</v>
      </c>
      <c r="E48" s="8" t="str">
        <f aca="false">TEXT(C48,"mmm")</f>
        <v>Nov</v>
      </c>
      <c r="F48" s="8" t="s">
        <v>39</v>
      </c>
      <c r="G48" s="8" t="s">
        <v>48</v>
      </c>
      <c r="H48" s="8" t="s">
        <v>72</v>
      </c>
      <c r="I48" s="8" t="s">
        <v>92</v>
      </c>
      <c r="J48" s="8" t="s">
        <v>43</v>
      </c>
      <c r="K48" s="8" t="s">
        <v>44</v>
      </c>
      <c r="L48" s="8" t="n">
        <v>450</v>
      </c>
      <c r="M48" s="8" t="n">
        <v>374</v>
      </c>
      <c r="N48" s="8" t="n">
        <v>350</v>
      </c>
      <c r="O48" s="10" t="n">
        <f aca="false">N48/L48</f>
        <v>0.777777777777778</v>
      </c>
      <c r="P48" s="11" t="n">
        <v>22</v>
      </c>
      <c r="Q48" s="11" t="n">
        <f aca="false">M48*P48</f>
        <v>8228</v>
      </c>
      <c r="R48" s="11" t="n">
        <v>1194.59</v>
      </c>
      <c r="S48" s="11" t="n">
        <f aca="false">Q48+R48</f>
        <v>9422.59</v>
      </c>
      <c r="T48" s="11" t="n">
        <v>1071.3</v>
      </c>
      <c r="U48" s="11" t="n">
        <f aca="false">S48-T48</f>
        <v>8351.29</v>
      </c>
      <c r="V48" s="8" t="n">
        <v>39915</v>
      </c>
    </row>
    <row r="49" customFormat="false" ht="15" hidden="false" customHeight="false" outlineLevel="0" collapsed="false">
      <c r="A49" s="8" t="s">
        <v>208</v>
      </c>
      <c r="B49" s="8" t="s">
        <v>209</v>
      </c>
      <c r="C49" s="9" t="n">
        <v>46006</v>
      </c>
      <c r="D49" s="8" t="str">
        <f aca="false">TEXT(C49,"dddd")</f>
        <v>Monday</v>
      </c>
      <c r="E49" s="8" t="str">
        <f aca="false">TEXT(C49,"mmm")</f>
        <v>Dec</v>
      </c>
      <c r="F49" s="8" t="s">
        <v>65</v>
      </c>
      <c r="G49" s="8" t="s">
        <v>48</v>
      </c>
      <c r="H49" s="8" t="s">
        <v>72</v>
      </c>
      <c r="I49" s="8" t="s">
        <v>210</v>
      </c>
      <c r="J49" s="8" t="s">
        <v>151</v>
      </c>
      <c r="K49" s="8" t="s">
        <v>62</v>
      </c>
      <c r="L49" s="8" t="n">
        <v>250</v>
      </c>
      <c r="M49" s="8" t="n">
        <v>218</v>
      </c>
      <c r="N49" s="8" t="n">
        <v>199</v>
      </c>
      <c r="O49" s="10" t="n">
        <f aca="false">N49/L49</f>
        <v>0.796</v>
      </c>
      <c r="P49" s="11" t="n">
        <v>35</v>
      </c>
      <c r="Q49" s="11" t="n">
        <f aca="false">M49*P49</f>
        <v>7630</v>
      </c>
      <c r="R49" s="11" t="n">
        <v>690.51</v>
      </c>
      <c r="S49" s="11" t="n">
        <f aca="false">Q49+R49</f>
        <v>8320.51</v>
      </c>
      <c r="T49" s="11" t="n">
        <v>1156.86</v>
      </c>
      <c r="U49" s="11" t="n">
        <f aca="false">S49-T49</f>
        <v>7163.65</v>
      </c>
      <c r="V49" s="8" t="n">
        <v>53697</v>
      </c>
    </row>
    <row r="50" customFormat="false" ht="15" hidden="false" customHeight="false" outlineLevel="0" collapsed="false">
      <c r="A50" s="8" t="s">
        <v>211</v>
      </c>
      <c r="B50" s="8" t="s">
        <v>212</v>
      </c>
      <c r="C50" s="9" t="n">
        <v>46013</v>
      </c>
      <c r="D50" s="8" t="str">
        <f aca="false">TEXT(C50,"dddd")</f>
        <v>Monday</v>
      </c>
      <c r="E50" s="8" t="str">
        <f aca="false">TEXT(C50,"mmm")</f>
        <v>Dec</v>
      </c>
      <c r="F50" s="8" t="s">
        <v>65</v>
      </c>
      <c r="G50" s="8" t="s">
        <v>80</v>
      </c>
      <c r="H50" s="8" t="s">
        <v>123</v>
      </c>
      <c r="I50" s="8" t="s">
        <v>213</v>
      </c>
      <c r="J50" s="8" t="s">
        <v>109</v>
      </c>
      <c r="K50" s="8" t="s">
        <v>36</v>
      </c>
      <c r="L50" s="8" t="n">
        <v>500</v>
      </c>
      <c r="M50" s="8" t="n">
        <v>415</v>
      </c>
      <c r="N50" s="8" t="n">
        <v>380</v>
      </c>
      <c r="O50" s="10" t="n">
        <f aca="false">N50/L50</f>
        <v>0.76</v>
      </c>
      <c r="P50" s="11" t="n">
        <v>35</v>
      </c>
      <c r="Q50" s="11" t="n">
        <f aca="false">M50*P50</f>
        <v>14525</v>
      </c>
      <c r="R50" s="11" t="n">
        <v>2136.48</v>
      </c>
      <c r="S50" s="11" t="n">
        <f aca="false">Q50+R50</f>
        <v>16661.48</v>
      </c>
      <c r="T50" s="11" t="n">
        <v>490.38</v>
      </c>
      <c r="U50" s="11" t="n">
        <f aca="false">S50-T50</f>
        <v>16171.1</v>
      </c>
      <c r="V50" s="8" t="n">
        <v>36363</v>
      </c>
    </row>
    <row r="51" customFormat="false" ht="15" hidden="false" customHeight="false" outlineLevel="0" collapsed="false">
      <c r="A51" s="8" t="s">
        <v>214</v>
      </c>
      <c r="B51" s="8" t="s">
        <v>215</v>
      </c>
      <c r="C51" s="9" t="n">
        <v>46017</v>
      </c>
      <c r="D51" s="8" t="str">
        <f aca="false">TEXT(C51,"dddd")</f>
        <v>Friday</v>
      </c>
      <c r="E51" s="8" t="str">
        <f aca="false">TEXT(C51,"mmm")</f>
        <v>Dec</v>
      </c>
      <c r="F51" s="8" t="s">
        <v>140</v>
      </c>
      <c r="G51" s="8" t="s">
        <v>48</v>
      </c>
      <c r="H51" s="8" t="s">
        <v>66</v>
      </c>
      <c r="I51" s="8" t="s">
        <v>216</v>
      </c>
      <c r="J51" s="8" t="s">
        <v>97</v>
      </c>
      <c r="K51" s="8" t="s">
        <v>98</v>
      </c>
      <c r="L51" s="8" t="n">
        <v>850</v>
      </c>
      <c r="M51" s="8" t="n">
        <v>617</v>
      </c>
      <c r="N51" s="8" t="n">
        <v>577</v>
      </c>
      <c r="O51" s="10" t="n">
        <f aca="false">N51/L51</f>
        <v>0.678823529411765</v>
      </c>
      <c r="P51" s="11" t="n">
        <v>30</v>
      </c>
      <c r="Q51" s="11" t="n">
        <f aca="false">M51*P51</f>
        <v>18510</v>
      </c>
      <c r="R51" s="11" t="n">
        <v>2977.92</v>
      </c>
      <c r="S51" s="11" t="n">
        <f aca="false">Q51+R51</f>
        <v>21487.92</v>
      </c>
      <c r="T51" s="11" t="n">
        <v>1080.15</v>
      </c>
      <c r="U51" s="11" t="n">
        <f aca="false">S51-T51</f>
        <v>20407.77</v>
      </c>
      <c r="V51" s="8" t="n">
        <v>28925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2" t="s">
        <v>217</v>
      </c>
    </row>
    <row r="3" customFormat="false" ht="15" hidden="false" customHeight="false" outlineLevel="0" collapsed="false">
      <c r="A3" s="13" t="s">
        <v>11</v>
      </c>
      <c r="B3" s="13" t="s">
        <v>218</v>
      </c>
      <c r="C3" s="13" t="s">
        <v>3</v>
      </c>
      <c r="D3" s="13" t="s">
        <v>4</v>
      </c>
      <c r="E3" s="13" t="s">
        <v>6</v>
      </c>
    </row>
    <row r="4" customFormat="false" ht="15" hidden="false" customHeight="false" outlineLevel="0" collapsed="false">
      <c r="A4" s="8" t="s">
        <v>219</v>
      </c>
      <c r="B4" s="8" t="n">
        <f aca="false">COUNTIF(Events!$E$2:$E$51,A4)</f>
        <v>5</v>
      </c>
      <c r="C4" s="8" t="n">
        <f aca="false">SUMIF(Events!$E$2:$E$51,A4,Events!$N$2:$N$51)</f>
        <v>2214</v>
      </c>
      <c r="D4" s="14" t="n">
        <f aca="false">SUMIF(Events!$E$2:$E$51,A4,Events!$S$2:$S$51)</f>
        <v>63987.45</v>
      </c>
      <c r="E4" s="10" t="n">
        <f aca="false">IFERROR(AVERAGEIF(Events!$E$2:$E$51,A4,Events!$O$2:$O$51),0)</f>
        <v>0.704492063492064</v>
      </c>
    </row>
    <row r="5" customFormat="false" ht="15" hidden="false" customHeight="false" outlineLevel="0" collapsed="false">
      <c r="A5" s="8" t="s">
        <v>220</v>
      </c>
      <c r="B5" s="8" t="n">
        <f aca="false">COUNTIF(Events!$E$2:$E$51,A5)</f>
        <v>4</v>
      </c>
      <c r="C5" s="8" t="n">
        <f aca="false">SUMIF(Events!$E$2:$E$51,A5,Events!$N$2:$N$51)</f>
        <v>2556</v>
      </c>
      <c r="D5" s="14" t="n">
        <f aca="false">SUMIF(Events!$E$2:$E$51,A5,Events!$S$2:$S$51)</f>
        <v>66743.86</v>
      </c>
      <c r="E5" s="10" t="n">
        <f aca="false">IFERROR(AVERAGEIF(Events!$E$2:$E$51,A5,Events!$O$2:$O$51),0)</f>
        <v>0.673154761904762</v>
      </c>
    </row>
    <row r="6" customFormat="false" ht="15" hidden="false" customHeight="false" outlineLevel="0" collapsed="false">
      <c r="A6" s="8" t="s">
        <v>221</v>
      </c>
      <c r="B6" s="8" t="n">
        <f aca="false">COUNTIF(Events!$E$2:$E$51,A6)</f>
        <v>5</v>
      </c>
      <c r="C6" s="8" t="n">
        <f aca="false">SUMIF(Events!$E$2:$E$51,A6,Events!$N$2:$N$51)</f>
        <v>2063</v>
      </c>
      <c r="D6" s="14" t="n">
        <f aca="false">SUMIF(Events!$E$2:$E$51,A6,Events!$S$2:$S$51)</f>
        <v>74466.52</v>
      </c>
      <c r="E6" s="10" t="n">
        <f aca="false">IFERROR(AVERAGEIF(Events!$E$2:$E$51,A6,Events!$O$2:$O$51),0)</f>
        <v>0.710051532669806</v>
      </c>
    </row>
    <row r="7" customFormat="false" ht="15" hidden="false" customHeight="false" outlineLevel="0" collapsed="false">
      <c r="A7" s="8" t="s">
        <v>222</v>
      </c>
      <c r="B7" s="8" t="n">
        <f aca="false">COUNTIF(Events!$E$2:$E$51,A7)</f>
        <v>3</v>
      </c>
      <c r="C7" s="8" t="n">
        <f aca="false">SUMIF(Events!$E$2:$E$51,A7,Events!$N$2:$N$51)</f>
        <v>1163</v>
      </c>
      <c r="D7" s="14" t="n">
        <f aca="false">SUMIF(Events!$E$2:$E$51,A7,Events!$S$2:$S$51)</f>
        <v>37848.67</v>
      </c>
      <c r="E7" s="10" t="n">
        <f aca="false">IFERROR(AVERAGEIF(Events!$E$2:$E$51,A7,Events!$O$2:$O$51),0)</f>
        <v>0.664165577342048</v>
      </c>
    </row>
    <row r="8" customFormat="false" ht="15" hidden="false" customHeight="false" outlineLevel="0" collapsed="false">
      <c r="A8" s="8" t="s">
        <v>223</v>
      </c>
      <c r="B8" s="8" t="n">
        <f aca="false">COUNTIF(Events!$E$2:$E$51,A8)</f>
        <v>4</v>
      </c>
      <c r="C8" s="8" t="n">
        <f aca="false">SUMIF(Events!$E$2:$E$51,A8,Events!$N$2:$N$51)</f>
        <v>2370</v>
      </c>
      <c r="D8" s="14" t="n">
        <f aca="false">SUMIF(Events!$E$2:$E$51,A8,Events!$S$2:$S$51)</f>
        <v>78035.57</v>
      </c>
      <c r="E8" s="10" t="n">
        <f aca="false">IFERROR(AVERAGEIF(Events!$E$2:$E$51,A8,Events!$O$2:$O$51),0)</f>
        <v>0.597840909090909</v>
      </c>
    </row>
    <row r="9" customFormat="false" ht="15" hidden="false" customHeight="false" outlineLevel="0" collapsed="false">
      <c r="A9" s="8" t="s">
        <v>224</v>
      </c>
      <c r="B9" s="8" t="n">
        <f aca="false">COUNTIF(Events!$E$2:$E$51,A9)</f>
        <v>5</v>
      </c>
      <c r="C9" s="8" t="n">
        <f aca="false">SUMIF(Events!$E$2:$E$51,A9,Events!$N$2:$N$51)</f>
        <v>2245</v>
      </c>
      <c r="D9" s="14" t="n">
        <f aca="false">SUMIF(Events!$E$2:$E$51,A9,Events!$S$2:$S$51)</f>
        <v>68034.13</v>
      </c>
      <c r="E9" s="10" t="n">
        <f aca="false">IFERROR(AVERAGEIF(Events!$E$2:$E$51,A9,Events!$O$2:$O$51),0)</f>
        <v>0.721511976911977</v>
      </c>
    </row>
    <row r="10" customFormat="false" ht="15" hidden="false" customHeight="false" outlineLevel="0" collapsed="false">
      <c r="A10" s="8" t="s">
        <v>225</v>
      </c>
      <c r="B10" s="8" t="n">
        <f aca="false">COUNTIF(Events!$E$2:$E$51,A10)</f>
        <v>4</v>
      </c>
      <c r="C10" s="8" t="n">
        <f aca="false">SUMIF(Events!$E$2:$E$51,A10,Events!$N$2:$N$51)</f>
        <v>1421</v>
      </c>
      <c r="D10" s="14" t="n">
        <f aca="false">SUMIF(Events!$E$2:$E$51,A10,Events!$S$2:$S$51)</f>
        <v>59735.11</v>
      </c>
      <c r="E10" s="10" t="n">
        <f aca="false">IFERROR(AVERAGEIF(Events!$E$2:$E$51,A10,Events!$O$2:$O$51),0)</f>
        <v>0.793044117647059</v>
      </c>
    </row>
    <row r="11" customFormat="false" ht="15" hidden="false" customHeight="false" outlineLevel="0" collapsed="false">
      <c r="A11" s="8" t="s">
        <v>226</v>
      </c>
      <c r="B11" s="8" t="n">
        <f aca="false">COUNTIF(Events!$E$2:$E$51,A11)</f>
        <v>5</v>
      </c>
      <c r="C11" s="8" t="n">
        <f aca="false">SUMIF(Events!$E$2:$E$51,A11,Events!$N$2:$N$51)</f>
        <v>2206</v>
      </c>
      <c r="D11" s="14" t="n">
        <f aca="false">SUMIF(Events!$E$2:$E$51,A11,Events!$S$2:$S$51)</f>
        <v>74679.46</v>
      </c>
      <c r="E11" s="10" t="n">
        <f aca="false">IFERROR(AVERAGEIF(Events!$E$2:$E$51,A11,Events!$O$2:$O$51),0)</f>
        <v>0.664285714285714</v>
      </c>
    </row>
    <row r="12" customFormat="false" ht="15" hidden="false" customHeight="false" outlineLevel="0" collapsed="false">
      <c r="A12" s="8" t="s">
        <v>227</v>
      </c>
      <c r="B12" s="8" t="n">
        <f aca="false">COUNTIF(Events!$E$2:$E$51,A12)</f>
        <v>4</v>
      </c>
      <c r="C12" s="8" t="n">
        <f aca="false">SUMIF(Events!$E$2:$E$51,A12,Events!$N$2:$N$51)</f>
        <v>3032</v>
      </c>
      <c r="D12" s="14" t="n">
        <f aca="false">SUMIF(Events!$E$2:$E$51,A12,Events!$S$2:$S$51)</f>
        <v>67554.34</v>
      </c>
      <c r="E12" s="10" t="n">
        <f aca="false">IFERROR(AVERAGEIF(Events!$E$2:$E$51,A12,Events!$O$2:$O$51),0)</f>
        <v>0.676800324675325</v>
      </c>
    </row>
    <row r="13" customFormat="false" ht="15" hidden="false" customHeight="false" outlineLevel="0" collapsed="false">
      <c r="A13" s="8" t="s">
        <v>228</v>
      </c>
      <c r="B13" s="8" t="n">
        <f aca="false">COUNTIF(Events!$E$2:$E$51,A13)</f>
        <v>4</v>
      </c>
      <c r="C13" s="8" t="n">
        <f aca="false">SUMIF(Events!$E$2:$E$51,A13,Events!$N$2:$N$51)</f>
        <v>3618</v>
      </c>
      <c r="D13" s="14" t="n">
        <f aca="false">SUMIF(Events!$E$2:$E$51,A13,Events!$S$2:$S$51)</f>
        <v>132183.88</v>
      </c>
      <c r="E13" s="10" t="n">
        <f aca="false">IFERROR(AVERAGEIF(Events!$E$2:$E$51,A13,Events!$O$2:$O$51),0)</f>
        <v>0.747674772036474</v>
      </c>
    </row>
    <row r="14" customFormat="false" ht="15" hidden="false" customHeight="false" outlineLevel="0" collapsed="false">
      <c r="A14" s="8" t="s">
        <v>229</v>
      </c>
      <c r="B14" s="8" t="n">
        <f aca="false">COUNTIF(Events!$E$2:$E$51,A14)</f>
        <v>4</v>
      </c>
      <c r="C14" s="8" t="n">
        <f aca="false">SUMIF(Events!$E$2:$E$51,A14,Events!$N$2:$N$51)</f>
        <v>2471</v>
      </c>
      <c r="D14" s="14" t="n">
        <f aca="false">SUMIF(Events!$E$2:$E$51,A14,Events!$S$2:$S$51)</f>
        <v>91332.62</v>
      </c>
      <c r="E14" s="10" t="n">
        <f aca="false">IFERROR(AVERAGEIF(Events!$E$2:$E$51,A14,Events!$O$2:$O$51),0)</f>
        <v>0.736650326797386</v>
      </c>
    </row>
    <row r="15" customFormat="false" ht="15" hidden="false" customHeight="false" outlineLevel="0" collapsed="false">
      <c r="A15" s="8" t="s">
        <v>230</v>
      </c>
      <c r="B15" s="8" t="n">
        <f aca="false">COUNTIF(Events!$E$2:$E$51,A15)</f>
        <v>3</v>
      </c>
      <c r="C15" s="8" t="n">
        <f aca="false">SUMIF(Events!$E$2:$E$51,A15,Events!$N$2:$N$51)</f>
        <v>1156</v>
      </c>
      <c r="D15" s="14" t="n">
        <f aca="false">SUMIF(Events!$E$2:$E$51,A15,Events!$S$2:$S$51)</f>
        <v>46469.91</v>
      </c>
      <c r="E15" s="10" t="n">
        <f aca="false">IFERROR(AVERAGEIF(Events!$E$2:$E$51,A15,Events!$O$2:$O$51),0)</f>
        <v>0.744941176470588</v>
      </c>
    </row>
    <row r="18" customFormat="false" ht="17.35" hidden="false" customHeight="false" outlineLevel="0" collapsed="false">
      <c r="A18" s="12" t="s">
        <v>231</v>
      </c>
    </row>
    <row r="20" customFormat="false" ht="15" hidden="false" customHeight="false" outlineLevel="0" collapsed="false">
      <c r="A20" s="13" t="s">
        <v>14</v>
      </c>
      <c r="B20" s="13" t="s">
        <v>218</v>
      </c>
      <c r="C20" s="13" t="s">
        <v>4</v>
      </c>
      <c r="D20" s="13" t="s">
        <v>6</v>
      </c>
      <c r="E20" s="13" t="s">
        <v>3</v>
      </c>
    </row>
    <row r="21" customFormat="false" ht="15" hidden="false" customHeight="false" outlineLevel="0" collapsed="false">
      <c r="A21" s="8" t="s">
        <v>123</v>
      </c>
      <c r="B21" s="8" t="n">
        <f aca="false">COUNTIF(Events!$H$2:$H$51,A21)</f>
        <v>4</v>
      </c>
      <c r="C21" s="14" t="n">
        <f aca="false">SUMIF(Events!$H$2:$H$51,A21,Events!$S$2:$S$51)</f>
        <v>77125.11</v>
      </c>
      <c r="D21" s="10" t="n">
        <f aca="false">IFERROR(AVERAGEIF(Events!$H$2:$H$51,A21,Events!$O$2:$O$51),0)</f>
        <v>0.740941558441558</v>
      </c>
      <c r="E21" s="8" t="n">
        <f aca="false">SUMIF(Events!$H$2:$H$51,A21,Events!$N$2:$N$51)</f>
        <v>2174</v>
      </c>
    </row>
    <row r="22" customFormat="false" ht="15" hidden="false" customHeight="false" outlineLevel="0" collapsed="false">
      <c r="A22" s="8" t="s">
        <v>84</v>
      </c>
      <c r="B22" s="8" t="n">
        <f aca="false">COUNTIF(Events!$H$2:$H$51,A22)</f>
        <v>8</v>
      </c>
      <c r="C22" s="14" t="n">
        <f aca="false">SUMIF(Events!$H$2:$H$51,A22,Events!$S$2:$S$51)</f>
        <v>104898.26</v>
      </c>
      <c r="D22" s="10" t="n">
        <f aca="false">IFERROR(AVERAGEIF(Events!$H$2:$H$51,A22,Events!$O$2:$O$51),0)</f>
        <v>0.694220986460348</v>
      </c>
      <c r="E22" s="8" t="n">
        <f aca="false">SUMIF(Events!$H$2:$H$51,A22,Events!$N$2:$N$51)</f>
        <v>3108</v>
      </c>
    </row>
    <row r="23" customFormat="false" ht="15" hidden="false" customHeight="false" outlineLevel="0" collapsed="false">
      <c r="A23" s="8" t="s">
        <v>59</v>
      </c>
      <c r="B23" s="8" t="n">
        <f aca="false">COUNTIF(Events!$H$2:$H$51,A23)</f>
        <v>3</v>
      </c>
      <c r="C23" s="14" t="n">
        <f aca="false">SUMIF(Events!$H$2:$H$51,A23,Events!$S$2:$S$51)</f>
        <v>61059.37</v>
      </c>
      <c r="D23" s="10" t="n">
        <f aca="false">IFERROR(AVERAGEIF(Events!$H$2:$H$51,A23,Events!$O$2:$O$51),0)</f>
        <v>0.848571428571428</v>
      </c>
      <c r="E23" s="8" t="n">
        <f aca="false">SUMIF(Events!$H$2:$H$51,A23,Events!$N$2:$N$51)</f>
        <v>1782</v>
      </c>
    </row>
    <row r="24" customFormat="false" ht="15" hidden="false" customHeight="false" outlineLevel="0" collapsed="false">
      <c r="A24" s="8" t="s">
        <v>41</v>
      </c>
      <c r="B24" s="8" t="n">
        <f aca="false">COUNTIF(Events!$H$2:$H$51,A24)</f>
        <v>10</v>
      </c>
      <c r="C24" s="14" t="n">
        <f aca="false">SUMIF(Events!$H$2:$H$51,A24,Events!$S$2:$S$51)</f>
        <v>266153.05</v>
      </c>
      <c r="D24" s="10" t="n">
        <f aca="false">IFERROR(AVERAGEIF(Events!$H$2:$H$51,A24,Events!$O$2:$O$51),0)</f>
        <v>0.729267714603572</v>
      </c>
      <c r="E24" s="8" t="n">
        <f aca="false">SUMIF(Events!$H$2:$H$51,A24,Events!$N$2:$N$51)</f>
        <v>7686</v>
      </c>
    </row>
    <row r="25" customFormat="false" ht="15" hidden="false" customHeight="false" outlineLevel="0" collapsed="false">
      <c r="A25" s="8" t="s">
        <v>33</v>
      </c>
      <c r="B25" s="8" t="n">
        <f aca="false">COUNTIF(Events!$H$2:$H$51,A25)</f>
        <v>7</v>
      </c>
      <c r="C25" s="14" t="n">
        <f aca="false">SUMIF(Events!$H$2:$H$51,A25,Events!$S$2:$S$51)</f>
        <v>69843.11</v>
      </c>
      <c r="D25" s="10" t="n">
        <f aca="false">IFERROR(AVERAGEIF(Events!$H$2:$H$51,A25,Events!$O$2:$O$51),0)</f>
        <v>0.67742218099361</v>
      </c>
      <c r="E25" s="8" t="n">
        <f aca="false">SUMIF(Events!$H$2:$H$51,A25,Events!$N$2:$N$51)</f>
        <v>2435</v>
      </c>
    </row>
    <row r="26" customFormat="false" ht="15" hidden="false" customHeight="false" outlineLevel="0" collapsed="false">
      <c r="A26" s="8" t="s">
        <v>66</v>
      </c>
      <c r="B26" s="8" t="n">
        <f aca="false">COUNTIF(Events!$H$2:$H$51,A26)</f>
        <v>7</v>
      </c>
      <c r="C26" s="14" t="n">
        <f aca="false">SUMIF(Events!$H$2:$H$51,A26,Events!$S$2:$S$51)</f>
        <v>111378.32</v>
      </c>
      <c r="D26" s="10" t="n">
        <f aca="false">IFERROR(AVERAGEIF(Events!$H$2:$H$51,A26,Events!$O$2:$O$51),0)</f>
        <v>0.658360010670935</v>
      </c>
      <c r="E26" s="8" t="n">
        <f aca="false">SUMIF(Events!$H$2:$H$51,A26,Events!$N$2:$N$51)</f>
        <v>3733</v>
      </c>
    </row>
    <row r="27" customFormat="false" ht="15" hidden="false" customHeight="false" outlineLevel="0" collapsed="false">
      <c r="A27" s="8" t="s">
        <v>104</v>
      </c>
      <c r="B27" s="8" t="n">
        <f aca="false">COUNTIF(Events!$H$2:$H$51,A27)</f>
        <v>4</v>
      </c>
      <c r="C27" s="14" t="n">
        <f aca="false">SUMIF(Events!$H$2:$H$51,A27,Events!$S$2:$S$51)</f>
        <v>60043.42</v>
      </c>
      <c r="D27" s="10" t="n">
        <f aca="false">IFERROR(AVERAGEIF(Events!$H$2:$H$51,A27,Events!$O$2:$O$51),0)</f>
        <v>0.633699579831933</v>
      </c>
      <c r="E27" s="8" t="n">
        <f aca="false">SUMIF(Events!$H$2:$H$51,A27,Events!$N$2:$N$51)</f>
        <v>1904</v>
      </c>
    </row>
    <row r="28" customFormat="false" ht="15" hidden="false" customHeight="false" outlineLevel="0" collapsed="false">
      <c r="A28" s="8" t="s">
        <v>72</v>
      </c>
      <c r="B28" s="8" t="n">
        <f aca="false">COUNTIF(Events!$H$2:$H$51,A28)</f>
        <v>7</v>
      </c>
      <c r="C28" s="14" t="n">
        <f aca="false">SUMIF(Events!$H$2:$H$51,A28,Events!$S$2:$S$51)</f>
        <v>110570.88</v>
      </c>
      <c r="D28" s="10" t="n">
        <f aca="false">IFERROR(AVERAGEIF(Events!$H$2:$H$51,A28,Events!$O$2:$O$51),0)</f>
        <v>0.698355475523543</v>
      </c>
      <c r="E28" s="8" t="n">
        <f aca="false">SUMIF(Events!$H$2:$H$51,A28,Events!$N$2:$N$51)</f>
        <v>3693</v>
      </c>
    </row>
    <row r="31" customFormat="false" ht="17.35" hidden="false" customHeight="false" outlineLevel="0" collapsed="false">
      <c r="A31" s="12" t="s">
        <v>232</v>
      </c>
    </row>
    <row r="33" customFormat="false" ht="15" hidden="false" customHeight="false" outlineLevel="0" collapsed="false">
      <c r="A33" s="13" t="s">
        <v>233</v>
      </c>
      <c r="B33" s="13" t="s">
        <v>218</v>
      </c>
      <c r="C33" s="13" t="s">
        <v>6</v>
      </c>
      <c r="D33" s="13" t="s">
        <v>4</v>
      </c>
    </row>
    <row r="34" customFormat="false" ht="15" hidden="false" customHeight="false" outlineLevel="0" collapsed="false">
      <c r="A34" s="8" t="s">
        <v>234</v>
      </c>
      <c r="B34" s="8" t="n">
        <f aca="false">COUNTIF(Events!$D$2:$D$51,A34)</f>
        <v>12</v>
      </c>
      <c r="C34" s="10" t="n">
        <f aca="false">IFERROR(AVERAGEIF(Events!$D$2:$D$51,A34,Events!$O$2:$O$51),0)</f>
        <v>0.731947606315253</v>
      </c>
      <c r="D34" s="14" t="n">
        <f aca="false">SUMIF(Events!$D$2:$D$51,A34,Events!$S$2:$S$51)</f>
        <v>202299.59</v>
      </c>
    </row>
    <row r="35" customFormat="false" ht="15" hidden="false" customHeight="false" outlineLevel="0" collapsed="false">
      <c r="A35" s="8" t="s">
        <v>235</v>
      </c>
      <c r="B35" s="8" t="n">
        <f aca="false">COUNTIF(Events!$D$2:$D$51,A35)</f>
        <v>4</v>
      </c>
      <c r="C35" s="10" t="n">
        <f aca="false">IFERROR(AVERAGEIF(Events!$D$2:$D$51,A35,Events!$O$2:$O$51),0)</f>
        <v>0.659229797979798</v>
      </c>
      <c r="D35" s="14" t="n">
        <f aca="false">SUMIF(Events!$D$2:$D$51,A35,Events!$S$2:$S$51)</f>
        <v>135543.6</v>
      </c>
    </row>
    <row r="36" customFormat="false" ht="15" hidden="false" customHeight="false" outlineLevel="0" collapsed="false">
      <c r="A36" s="8" t="s">
        <v>236</v>
      </c>
      <c r="B36" s="8" t="n">
        <f aca="false">COUNTIF(Events!$D$2:$D$51,A36)</f>
        <v>10</v>
      </c>
      <c r="C36" s="10" t="n">
        <f aca="false">IFERROR(AVERAGEIF(Events!$D$2:$D$51,A36,Events!$O$2:$O$51),0)</f>
        <v>0.67654609929078</v>
      </c>
      <c r="D36" s="14" t="n">
        <f aca="false">SUMIF(Events!$D$2:$D$51,A36,Events!$S$2:$S$51)</f>
        <v>122194.22</v>
      </c>
    </row>
    <row r="37" customFormat="false" ht="15" hidden="false" customHeight="false" outlineLevel="0" collapsed="false">
      <c r="A37" s="8" t="s">
        <v>237</v>
      </c>
      <c r="B37" s="8" t="n">
        <f aca="false">COUNTIF(Events!$D$2:$D$51,A37)</f>
        <v>3</v>
      </c>
      <c r="C37" s="10" t="n">
        <f aca="false">IFERROR(AVERAGEIF(Events!$D$2:$D$51,A37,Events!$O$2:$O$51),0)</f>
        <v>0.745687830687831</v>
      </c>
      <c r="D37" s="14" t="n">
        <f aca="false">SUMIF(Events!$D$2:$D$51,A37,Events!$S$2:$S$51)</f>
        <v>33826.55</v>
      </c>
    </row>
    <row r="38" customFormat="false" ht="15" hidden="false" customHeight="false" outlineLevel="0" collapsed="false">
      <c r="A38" s="8" t="s">
        <v>238</v>
      </c>
      <c r="B38" s="8" t="n">
        <f aca="false">COUNTIF(Events!$D$2:$D$51,A38)</f>
        <v>4</v>
      </c>
      <c r="C38" s="10" t="n">
        <f aca="false">IFERROR(AVERAGEIF(Events!$D$2:$D$51,A38,Events!$O$2:$O$51),0)</f>
        <v>0.66327731092437</v>
      </c>
      <c r="D38" s="14" t="n">
        <f aca="false">SUMIF(Events!$D$2:$D$51,A38,Events!$S$2:$S$51)</f>
        <v>74033.95</v>
      </c>
    </row>
    <row r="39" customFormat="false" ht="15" hidden="false" customHeight="false" outlineLevel="0" collapsed="false">
      <c r="A39" s="8" t="s">
        <v>239</v>
      </c>
      <c r="B39" s="8" t="n">
        <f aca="false">COUNTIF(Events!$D$2:$D$51,A39)</f>
        <v>13</v>
      </c>
      <c r="C39" s="10" t="n">
        <f aca="false">IFERROR(AVERAGEIF(Events!$D$2:$D$51,A39,Events!$O$2:$O$51),0)</f>
        <v>0.714654711510156</v>
      </c>
      <c r="D39" s="14" t="n">
        <f aca="false">SUMIF(Events!$D$2:$D$51,A39,Events!$S$2:$S$51)</f>
        <v>231573.37</v>
      </c>
    </row>
    <row r="40" customFormat="false" ht="15" hidden="false" customHeight="false" outlineLevel="0" collapsed="false">
      <c r="A40" s="8" t="s">
        <v>240</v>
      </c>
      <c r="B40" s="8" t="n">
        <f aca="false">COUNTIF(Events!$D$2:$D$51,A40)</f>
        <v>4</v>
      </c>
      <c r="C40" s="10" t="n">
        <f aca="false">IFERROR(AVERAGEIF(Events!$D$2:$D$51,A40,Events!$O$2:$O$51),0)</f>
        <v>0.690813025210084</v>
      </c>
      <c r="D40" s="14" t="n">
        <f aca="false">SUMIF(Events!$D$2:$D$51,A40,Events!$S$2:$S$51)</f>
        <v>61600.24</v>
      </c>
    </row>
    <row r="43" customFormat="false" ht="17.35" hidden="false" customHeight="false" outlineLevel="0" collapsed="false">
      <c r="A43" s="12" t="s">
        <v>241</v>
      </c>
    </row>
    <row r="45" customFormat="false" ht="15" hidden="false" customHeight="false" outlineLevel="0" collapsed="false">
      <c r="A45" s="13" t="s">
        <v>17</v>
      </c>
      <c r="B45" s="13" t="s">
        <v>218</v>
      </c>
      <c r="C45" s="13" t="s">
        <v>4</v>
      </c>
      <c r="D45" s="13" t="s">
        <v>6</v>
      </c>
    </row>
    <row r="46" customFormat="false" ht="15" hidden="false" customHeight="false" outlineLevel="0" collapsed="false">
      <c r="A46" s="8" t="s">
        <v>36</v>
      </c>
      <c r="B46" s="8" t="n">
        <f aca="false">COUNTIF(Events!$K$2:$K$51,A46)</f>
        <v>8</v>
      </c>
      <c r="C46" s="14" t="n">
        <f aca="false">SUMIF(Events!$K$2:$K$51,A46,Events!$S$2:$S$51)</f>
        <v>97496.53</v>
      </c>
      <c r="D46" s="10" t="n">
        <f aca="false">IFERROR(AVERAGEIF(Events!$K$2:$K$51,A46,Events!$O$2:$O$51),0)</f>
        <v>0.756727203647416</v>
      </c>
    </row>
    <row r="47" customFormat="false" ht="15" hidden="false" customHeight="false" outlineLevel="0" collapsed="false">
      <c r="A47" s="8" t="s">
        <v>69</v>
      </c>
      <c r="B47" s="8" t="n">
        <f aca="false">COUNTIF(Events!$K$2:$K$51,A47)</f>
        <v>7</v>
      </c>
      <c r="C47" s="14" t="n">
        <f aca="false">SUMIF(Events!$K$2:$K$51,A47,Events!$S$2:$S$51)</f>
        <v>208296.31</v>
      </c>
      <c r="D47" s="10" t="n">
        <f aca="false">IFERROR(AVERAGEIF(Events!$K$2:$K$51,A47,Events!$O$2:$O$51),0)</f>
        <v>0.712911255411255</v>
      </c>
    </row>
    <row r="48" customFormat="false" ht="15" hidden="false" customHeight="false" outlineLevel="0" collapsed="false">
      <c r="A48" s="8" t="s">
        <v>51</v>
      </c>
      <c r="B48" s="8" t="n">
        <f aca="false">COUNTIF(Events!$K$2:$K$51,A48)</f>
        <v>8</v>
      </c>
      <c r="C48" s="14" t="n">
        <f aca="false">SUMIF(Events!$K$2:$K$51,A48,Events!$S$2:$S$51)</f>
        <v>143779.62</v>
      </c>
      <c r="D48" s="10" t="n">
        <f aca="false">IFERROR(AVERAGEIF(Events!$K$2:$K$51,A48,Events!$O$2:$O$51),0)</f>
        <v>0.639196428571429</v>
      </c>
    </row>
    <row r="49" customFormat="false" ht="15" hidden="false" customHeight="false" outlineLevel="0" collapsed="false">
      <c r="A49" s="8" t="s">
        <v>98</v>
      </c>
      <c r="B49" s="8" t="n">
        <f aca="false">COUNTIF(Events!$K$2:$K$51,A49)</f>
        <v>9</v>
      </c>
      <c r="C49" s="14" t="n">
        <f aca="false">SUMIF(Events!$K$2:$K$51,A49,Events!$S$2:$S$51)</f>
        <v>166755.74</v>
      </c>
      <c r="D49" s="10" t="n">
        <f aca="false">IFERROR(AVERAGEIF(Events!$K$2:$K$51,A49,Events!$O$2:$O$51),0)</f>
        <v>0.710315592903828</v>
      </c>
    </row>
    <row r="50" customFormat="false" ht="15" hidden="false" customHeight="false" outlineLevel="0" collapsed="false">
      <c r="A50" s="8" t="s">
        <v>62</v>
      </c>
      <c r="B50" s="8" t="n">
        <f aca="false">COUNTIF(Events!$K$2:$K$51,A50)</f>
        <v>7</v>
      </c>
      <c r="C50" s="14" t="n">
        <f aca="false">SUMIF(Events!$K$2:$K$51,A50,Events!$S$2:$S$51)</f>
        <v>107514.34</v>
      </c>
      <c r="D50" s="10" t="n">
        <f aca="false">IFERROR(AVERAGEIF(Events!$K$2:$K$51,A50,Events!$O$2:$O$51),0)</f>
        <v>0.754979591836735</v>
      </c>
    </row>
    <row r="51" customFormat="false" ht="15" hidden="false" customHeight="false" outlineLevel="0" collapsed="false">
      <c r="A51" s="8" t="s">
        <v>44</v>
      </c>
      <c r="B51" s="8" t="n">
        <f aca="false">COUNTIF(Events!$K$2:$K$51,A51)</f>
        <v>11</v>
      </c>
      <c r="C51" s="14" t="n">
        <f aca="false">SUMIF(Events!$K$2:$K$51,A51,Events!$S$2:$S$51)</f>
        <v>137228.98</v>
      </c>
      <c r="D51" s="10" t="n">
        <f aca="false">IFERROR(AVERAGEIF(Events!$K$2:$K$51,A51,Events!$O$2:$O$51),0)</f>
        <v>0.663111111111111</v>
      </c>
    </row>
    <row r="54" customFormat="false" ht="17.35" hidden="false" customHeight="false" outlineLevel="0" collapsed="false">
      <c r="A54" s="12" t="s">
        <v>242</v>
      </c>
    </row>
    <row r="55" customFormat="false" ht="15" hidden="false" customHeight="false" outlineLevel="0" collapsed="false">
      <c r="A55" s="15" t="s">
        <v>2</v>
      </c>
      <c r="B55" s="8" t="n">
        <f aca="false">COUNTA(Events!$A$2:$A$51)</f>
        <v>50</v>
      </c>
    </row>
    <row r="56" customFormat="false" ht="15" hidden="false" customHeight="false" outlineLevel="0" collapsed="false">
      <c r="A56" s="15" t="s">
        <v>3</v>
      </c>
      <c r="B56" s="8" t="n">
        <f aca="false">SUM(Events!$N$2:$N$51)</f>
        <v>26515</v>
      </c>
    </row>
    <row r="57" customFormat="false" ht="15" hidden="false" customHeight="false" outlineLevel="0" collapsed="false">
      <c r="A57" s="15" t="s">
        <v>4</v>
      </c>
      <c r="B57" s="14" t="n">
        <f aca="false">SUM(Events!$S$2:$S$51)</f>
        <v>861071.52</v>
      </c>
    </row>
    <row r="58" customFormat="false" ht="15" hidden="false" customHeight="false" outlineLevel="0" collapsed="false">
      <c r="A58" s="15" t="s">
        <v>243</v>
      </c>
      <c r="B58" s="14" t="n">
        <f aca="false">SUM(Events!$U$2:$U$51)</f>
        <v>810253.09</v>
      </c>
    </row>
    <row r="59" customFormat="false" ht="15" hidden="false" customHeight="false" outlineLevel="0" collapsed="false">
      <c r="A59" s="15" t="s">
        <v>6</v>
      </c>
      <c r="B59" s="10" t="n">
        <f aca="false">AVERAGE(Events!$O$2:$O$51)</f>
        <v>0.702593750936867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2026-07-17T23:57:57Z</dcterms:created>
  <dc:creator>openpyxl</dc:creator>
  <dc:description/>
  <dc:language>en-US</dc:language>
  <cp:lastModifiedBy/>
  <dcterms:modified xsi:type="dcterms:W3CDTF">2026-07-17T23:58:48Z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